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C2PEPF00000DF2\EXCELCNV\570c28d1-3f0b-4b1e-be07-5acbdf87167f\"/>
    </mc:Choice>
  </mc:AlternateContent>
  <xr:revisionPtr revIDLastSave="2" documentId="8_{6A6617D7-6F3D-4F2B-91CE-6DC69DAE3907}" xr6:coauthVersionLast="47" xr6:coauthVersionMax="47" xr10:uidLastSave="{5AF70F7F-A2E9-41CC-A256-13CC323D714B}"/>
  <bookViews>
    <workbookView xWindow="-60" yWindow="-60" windowWidth="15480" windowHeight="11640" tabRatio="603" xr2:uid="{60F64F71-E206-4675-BBF9-3820EE536ED6}"/>
  </bookViews>
  <sheets>
    <sheet name="TRASNOCHES" sheetId="6" r:id="rId1"/>
  </sheets>
  <externalReferences>
    <externalReference r:id="rId2"/>
  </externalReferences>
  <definedNames>
    <definedName name="_xlnm._FilterDatabase" localSheetId="0" hidden="1">TRASNOCHES!$A$3:$AP$71</definedName>
    <definedName name="_xlnm.Print_Titles" localSheetId="0">TRASNOCHES!$A:$B,TRASNOCHES!$1:$3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3" i="6" l="1"/>
  <c r="AL33" i="6"/>
  <c r="AI33" i="6"/>
  <c r="AF33" i="6"/>
  <c r="AC33" i="6"/>
  <c r="Z33" i="6"/>
  <c r="W33" i="6"/>
  <c r="T33" i="6"/>
  <c r="Q33" i="6"/>
  <c r="N33" i="6"/>
  <c r="K33" i="6"/>
  <c r="H33" i="6"/>
  <c r="E33" i="6"/>
  <c r="AM33" i="6"/>
  <c r="AP32" i="6"/>
  <c r="AL32" i="6"/>
  <c r="AI32" i="6"/>
  <c r="AF32" i="6"/>
  <c r="AC32" i="6"/>
  <c r="Z32" i="6"/>
  <c r="W32" i="6"/>
  <c r="T32" i="6"/>
  <c r="Q32" i="6"/>
  <c r="N32" i="6"/>
  <c r="K32" i="6"/>
  <c r="H32" i="6"/>
  <c r="E32" i="6"/>
  <c r="AM32" i="6"/>
  <c r="AP31" i="6"/>
  <c r="AL31" i="6"/>
  <c r="AI31" i="6"/>
  <c r="AF31" i="6"/>
  <c r="AC31" i="6"/>
  <c r="Z31" i="6"/>
  <c r="W31" i="6"/>
  <c r="T31" i="6"/>
  <c r="Q31" i="6"/>
  <c r="N31" i="6"/>
  <c r="K31" i="6"/>
  <c r="H31" i="6"/>
  <c r="E31" i="6"/>
  <c r="AM31" i="6"/>
  <c r="AP30" i="6"/>
  <c r="AL30" i="6"/>
  <c r="AI30" i="6"/>
  <c r="AF30" i="6"/>
  <c r="AC30" i="6"/>
  <c r="Z30" i="6"/>
  <c r="W30" i="6"/>
  <c r="T30" i="6"/>
  <c r="Q30" i="6"/>
  <c r="N30" i="6"/>
  <c r="K30" i="6"/>
  <c r="H30" i="6"/>
  <c r="E30" i="6"/>
  <c r="AM30" i="6" s="1"/>
  <c r="AP29" i="6"/>
  <c r="AL29" i="6"/>
  <c r="AI29" i="6"/>
  <c r="AF29" i="6"/>
  <c r="AC29" i="6"/>
  <c r="Z29" i="6"/>
  <c r="W29" i="6"/>
  <c r="T29" i="6"/>
  <c r="Q29" i="6"/>
  <c r="N29" i="6"/>
  <c r="K29" i="6"/>
  <c r="H29" i="6"/>
  <c r="E29" i="6"/>
  <c r="AM29" i="6" s="1"/>
  <c r="AP28" i="6"/>
  <c r="AL28" i="6"/>
  <c r="AI28" i="6"/>
  <c r="AF28" i="6"/>
  <c r="AC28" i="6"/>
  <c r="Z28" i="6"/>
  <c r="W28" i="6"/>
  <c r="T28" i="6"/>
  <c r="Q28" i="6"/>
  <c r="N28" i="6"/>
  <c r="K28" i="6"/>
  <c r="H28" i="6"/>
  <c r="E28" i="6"/>
  <c r="AM28" i="6"/>
  <c r="AP27" i="6"/>
  <c r="AL27" i="6"/>
  <c r="AI27" i="6"/>
  <c r="AF27" i="6"/>
  <c r="AC27" i="6"/>
  <c r="Z27" i="6"/>
  <c r="W27" i="6"/>
  <c r="T27" i="6"/>
  <c r="Q27" i="6"/>
  <c r="N27" i="6"/>
  <c r="K27" i="6"/>
  <c r="H27" i="6"/>
  <c r="E27" i="6"/>
  <c r="AM27" i="6"/>
  <c r="AP26" i="6"/>
  <c r="AL26" i="6"/>
  <c r="AI26" i="6"/>
  <c r="AF26" i="6"/>
  <c r="AC26" i="6"/>
  <c r="Z26" i="6"/>
  <c r="W26" i="6"/>
  <c r="T26" i="6"/>
  <c r="Q26" i="6"/>
  <c r="N26" i="6"/>
  <c r="K26" i="6"/>
  <c r="H26" i="6"/>
  <c r="E26" i="6"/>
  <c r="AM26" i="6"/>
  <c r="AP25" i="6"/>
  <c r="AL25" i="6"/>
  <c r="AI25" i="6"/>
  <c r="AF25" i="6"/>
  <c r="AC25" i="6"/>
  <c r="Z25" i="6"/>
  <c r="W25" i="6"/>
  <c r="T25" i="6"/>
  <c r="Q25" i="6"/>
  <c r="N25" i="6"/>
  <c r="K25" i="6"/>
  <c r="H25" i="6"/>
  <c r="E25" i="6"/>
  <c r="AM25" i="6"/>
  <c r="AP24" i="6"/>
  <c r="AL24" i="6"/>
  <c r="AI24" i="6"/>
  <c r="AF24" i="6"/>
  <c r="AC24" i="6"/>
  <c r="Z24" i="6"/>
  <c r="W24" i="6"/>
  <c r="T24" i="6"/>
  <c r="Q24" i="6"/>
  <c r="N24" i="6"/>
  <c r="K24" i="6"/>
  <c r="H24" i="6"/>
  <c r="E24" i="6"/>
  <c r="AM24" i="6"/>
  <c r="AP23" i="6"/>
  <c r="AL23" i="6"/>
  <c r="AI23" i="6"/>
  <c r="AF23" i="6"/>
  <c r="AC23" i="6"/>
  <c r="Z23" i="6"/>
  <c r="W23" i="6"/>
  <c r="T23" i="6"/>
  <c r="Q23" i="6"/>
  <c r="N23" i="6"/>
  <c r="K23" i="6"/>
  <c r="H23" i="6"/>
  <c r="E23" i="6"/>
  <c r="AM23" i="6"/>
  <c r="AP22" i="6"/>
  <c r="AL22" i="6"/>
  <c r="AI22" i="6"/>
  <c r="AF22" i="6"/>
  <c r="AC22" i="6"/>
  <c r="Z22" i="6"/>
  <c r="W22" i="6"/>
  <c r="T22" i="6"/>
  <c r="Q22" i="6"/>
  <c r="N22" i="6"/>
  <c r="K22" i="6"/>
  <c r="H22" i="6"/>
  <c r="E22" i="6"/>
  <c r="AM22" i="6"/>
  <c r="AP36" i="6"/>
  <c r="AL36" i="6"/>
  <c r="AI36" i="6"/>
  <c r="AF36" i="6"/>
  <c r="AC36" i="6"/>
  <c r="Z36" i="6"/>
  <c r="W36" i="6"/>
  <c r="T36" i="6"/>
  <c r="Q36" i="6"/>
  <c r="N36" i="6"/>
  <c r="K36" i="6"/>
  <c r="H36" i="6"/>
  <c r="E36" i="6"/>
  <c r="AM36" i="6" s="1"/>
  <c r="AP35" i="6"/>
  <c r="AL35" i="6"/>
  <c r="AI35" i="6"/>
  <c r="AF35" i="6"/>
  <c r="AC35" i="6"/>
  <c r="Z35" i="6"/>
  <c r="W35" i="6"/>
  <c r="T35" i="6"/>
  <c r="Q35" i="6"/>
  <c r="N35" i="6"/>
  <c r="K35" i="6"/>
  <c r="H35" i="6"/>
  <c r="E35" i="6"/>
  <c r="AM35" i="6"/>
  <c r="AP34" i="6"/>
  <c r="AL34" i="6"/>
  <c r="AI34" i="6"/>
  <c r="AF34" i="6"/>
  <c r="AC34" i="6"/>
  <c r="Z34" i="6"/>
  <c r="W34" i="6"/>
  <c r="T34" i="6"/>
  <c r="Q34" i="6"/>
  <c r="N34" i="6"/>
  <c r="K34" i="6"/>
  <c r="H34" i="6"/>
  <c r="E34" i="6"/>
  <c r="AM34" i="6" s="1"/>
  <c r="AP21" i="6"/>
  <c r="AL21" i="6"/>
  <c r="AI21" i="6"/>
  <c r="AF21" i="6"/>
  <c r="AC21" i="6"/>
  <c r="Z21" i="6"/>
  <c r="W21" i="6"/>
  <c r="T21" i="6"/>
  <c r="Q21" i="6"/>
  <c r="N21" i="6"/>
  <c r="K21" i="6"/>
  <c r="H21" i="6"/>
  <c r="E21" i="6"/>
  <c r="AM21" i="6" s="1"/>
  <c r="AP20" i="6"/>
  <c r="AL20" i="6"/>
  <c r="AI20" i="6"/>
  <c r="AF20" i="6"/>
  <c r="AC20" i="6"/>
  <c r="Z20" i="6"/>
  <c r="W20" i="6"/>
  <c r="T20" i="6"/>
  <c r="Q20" i="6"/>
  <c r="N20" i="6"/>
  <c r="K20" i="6"/>
  <c r="H20" i="6"/>
  <c r="E20" i="6"/>
  <c r="AM20" i="6" s="1"/>
  <c r="AP19" i="6"/>
  <c r="AL19" i="6"/>
  <c r="AI19" i="6"/>
  <c r="AF19" i="6"/>
  <c r="AC19" i="6"/>
  <c r="Z19" i="6"/>
  <c r="W19" i="6"/>
  <c r="T19" i="6"/>
  <c r="Q19" i="6"/>
  <c r="N19" i="6"/>
  <c r="K19" i="6"/>
  <c r="H19" i="6"/>
  <c r="E19" i="6"/>
  <c r="AM19" i="6" s="1"/>
  <c r="AP18" i="6"/>
  <c r="AL18" i="6"/>
  <c r="AI18" i="6"/>
  <c r="AF18" i="6"/>
  <c r="AC18" i="6"/>
  <c r="Z18" i="6"/>
  <c r="W18" i="6"/>
  <c r="T18" i="6"/>
  <c r="Q18" i="6"/>
  <c r="N18" i="6"/>
  <c r="K18" i="6"/>
  <c r="H18" i="6"/>
  <c r="E18" i="6"/>
  <c r="AM18" i="6" s="1"/>
  <c r="AP17" i="6"/>
  <c r="AL17" i="6"/>
  <c r="AI17" i="6"/>
  <c r="AF17" i="6"/>
  <c r="AC17" i="6"/>
  <c r="Z17" i="6"/>
  <c r="W17" i="6"/>
  <c r="T17" i="6"/>
  <c r="Q17" i="6"/>
  <c r="N17" i="6"/>
  <c r="K17" i="6"/>
  <c r="H17" i="6"/>
  <c r="E17" i="6"/>
  <c r="AM17" i="6"/>
  <c r="AP16" i="6"/>
  <c r="AL16" i="6"/>
  <c r="AI16" i="6"/>
  <c r="AF16" i="6"/>
  <c r="AC16" i="6"/>
  <c r="Z16" i="6"/>
  <c r="W16" i="6"/>
  <c r="T16" i="6"/>
  <c r="Q16" i="6"/>
  <c r="N16" i="6"/>
  <c r="K16" i="6"/>
  <c r="H16" i="6"/>
  <c r="E16" i="6"/>
  <c r="AM16" i="6" s="1"/>
  <c r="AP15" i="6"/>
  <c r="AL15" i="6"/>
  <c r="AI15" i="6"/>
  <c r="AF15" i="6"/>
  <c r="AC15" i="6"/>
  <c r="Z15" i="6"/>
  <c r="W15" i="6"/>
  <c r="T15" i="6"/>
  <c r="Q15" i="6"/>
  <c r="N15" i="6"/>
  <c r="K15" i="6"/>
  <c r="H15" i="6"/>
  <c r="E15" i="6"/>
  <c r="AM15" i="6" s="1"/>
  <c r="AP14" i="6"/>
  <c r="AL14" i="6"/>
  <c r="AI14" i="6"/>
  <c r="AF14" i="6"/>
  <c r="AC14" i="6"/>
  <c r="Z14" i="6"/>
  <c r="W14" i="6"/>
  <c r="T14" i="6"/>
  <c r="Q14" i="6"/>
  <c r="N14" i="6"/>
  <c r="K14" i="6"/>
  <c r="H14" i="6"/>
  <c r="E14" i="6"/>
  <c r="AM14" i="6" s="1"/>
  <c r="AP13" i="6"/>
  <c r="AL13" i="6"/>
  <c r="AI13" i="6"/>
  <c r="AF13" i="6"/>
  <c r="AC13" i="6"/>
  <c r="Z13" i="6"/>
  <c r="W13" i="6"/>
  <c r="T13" i="6"/>
  <c r="Q13" i="6"/>
  <c r="N13" i="6"/>
  <c r="K13" i="6"/>
  <c r="H13" i="6"/>
  <c r="E13" i="6"/>
  <c r="AM13" i="6" s="1"/>
  <c r="AP12" i="6"/>
  <c r="AL12" i="6"/>
  <c r="AI12" i="6"/>
  <c r="AF12" i="6"/>
  <c r="AC12" i="6"/>
  <c r="Z12" i="6"/>
  <c r="W12" i="6"/>
  <c r="T12" i="6"/>
  <c r="Q12" i="6"/>
  <c r="N12" i="6"/>
  <c r="K12" i="6"/>
  <c r="H12" i="6"/>
  <c r="E12" i="6"/>
  <c r="AM12" i="6" s="1"/>
  <c r="AP11" i="6"/>
  <c r="AL11" i="6"/>
  <c r="AI11" i="6"/>
  <c r="AF11" i="6"/>
  <c r="AC11" i="6"/>
  <c r="Z11" i="6"/>
  <c r="W11" i="6"/>
  <c r="T11" i="6"/>
  <c r="Q11" i="6"/>
  <c r="N11" i="6"/>
  <c r="K11" i="6"/>
  <c r="H11" i="6"/>
  <c r="E11" i="6"/>
  <c r="AM11" i="6"/>
  <c r="AP10" i="6"/>
  <c r="AL10" i="6"/>
  <c r="AI10" i="6"/>
  <c r="AF10" i="6"/>
  <c r="AC10" i="6"/>
  <c r="Z10" i="6"/>
  <c r="W10" i="6"/>
  <c r="T10" i="6"/>
  <c r="Q10" i="6"/>
  <c r="N10" i="6"/>
  <c r="K10" i="6"/>
  <c r="H10" i="6"/>
  <c r="E10" i="6"/>
  <c r="AM10" i="6" s="1"/>
  <c r="AP9" i="6"/>
  <c r="AL9" i="6"/>
  <c r="AI9" i="6"/>
  <c r="AF9" i="6"/>
  <c r="AC9" i="6"/>
  <c r="Z9" i="6"/>
  <c r="W9" i="6"/>
  <c r="T9" i="6"/>
  <c r="Q9" i="6"/>
  <c r="N9" i="6"/>
  <c r="K9" i="6"/>
  <c r="H9" i="6"/>
  <c r="E9" i="6"/>
  <c r="AM9" i="6" s="1"/>
  <c r="AP8" i="6"/>
  <c r="AL8" i="6"/>
  <c r="AI8" i="6"/>
  <c r="AF8" i="6"/>
  <c r="AC8" i="6"/>
  <c r="Z8" i="6"/>
  <c r="W8" i="6"/>
  <c r="T8" i="6"/>
  <c r="Q8" i="6"/>
  <c r="N8" i="6"/>
  <c r="K8" i="6"/>
  <c r="H8" i="6"/>
  <c r="E8" i="6"/>
  <c r="AM8" i="6" s="1"/>
  <c r="AP7" i="6"/>
  <c r="AL7" i="6"/>
  <c r="AI7" i="6"/>
  <c r="AF7" i="6"/>
  <c r="AC7" i="6"/>
  <c r="Z7" i="6"/>
  <c r="W7" i="6"/>
  <c r="T7" i="6"/>
  <c r="Q7" i="6"/>
  <c r="N7" i="6"/>
  <c r="K7" i="6"/>
  <c r="H7" i="6"/>
  <c r="E7" i="6"/>
  <c r="AM7" i="6" s="1"/>
  <c r="AP64" i="6"/>
  <c r="AP65" i="6"/>
  <c r="AP66" i="6"/>
  <c r="AP67" i="6"/>
  <c r="AP5" i="6"/>
  <c r="AP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4" i="6"/>
  <c r="F2" i="6"/>
  <c r="I2" i="6"/>
  <c r="L2" i="6"/>
  <c r="O2" i="6"/>
  <c r="R2" i="6"/>
  <c r="U2" i="6"/>
  <c r="X2" i="6"/>
  <c r="AA2" i="6"/>
  <c r="AL41" i="6"/>
  <c r="AI41" i="6"/>
  <c r="AF41" i="6"/>
  <c r="AC41" i="6"/>
  <c r="Z41" i="6"/>
  <c r="W41" i="6"/>
  <c r="T41" i="6"/>
  <c r="Q41" i="6"/>
  <c r="N41" i="6"/>
  <c r="K41" i="6"/>
  <c r="H41" i="6"/>
  <c r="E41" i="6"/>
  <c r="AM41" i="6" s="1"/>
  <c r="AL40" i="6"/>
  <c r="AI40" i="6"/>
  <c r="AF40" i="6"/>
  <c r="AC40" i="6"/>
  <c r="Z40" i="6"/>
  <c r="W40" i="6"/>
  <c r="T40" i="6"/>
  <c r="Q40" i="6"/>
  <c r="N40" i="6"/>
  <c r="K40" i="6"/>
  <c r="H40" i="6"/>
  <c r="E40" i="6"/>
  <c r="AM40" i="6"/>
  <c r="AL39" i="6"/>
  <c r="AI39" i="6"/>
  <c r="AF39" i="6"/>
  <c r="AC39" i="6"/>
  <c r="Z39" i="6"/>
  <c r="W39" i="6"/>
  <c r="T39" i="6"/>
  <c r="Q39" i="6"/>
  <c r="N39" i="6"/>
  <c r="K39" i="6"/>
  <c r="H39" i="6"/>
  <c r="E39" i="6"/>
  <c r="AM39" i="6" s="1"/>
  <c r="AL38" i="6"/>
  <c r="AI38" i="6"/>
  <c r="AF38" i="6"/>
  <c r="AC38" i="6"/>
  <c r="Z38" i="6"/>
  <c r="W38" i="6"/>
  <c r="T38" i="6"/>
  <c r="Q38" i="6"/>
  <c r="N38" i="6"/>
  <c r="K38" i="6"/>
  <c r="H38" i="6"/>
  <c r="E38" i="6"/>
  <c r="AM38" i="6" s="1"/>
  <c r="AL37" i="6"/>
  <c r="AI37" i="6"/>
  <c r="AF37" i="6"/>
  <c r="AC37" i="6"/>
  <c r="Z37" i="6"/>
  <c r="W37" i="6"/>
  <c r="T37" i="6"/>
  <c r="Q37" i="6"/>
  <c r="N37" i="6"/>
  <c r="K37" i="6"/>
  <c r="H37" i="6"/>
  <c r="E37" i="6"/>
  <c r="AM37" i="6" s="1"/>
  <c r="AL6" i="6"/>
  <c r="AI6" i="6"/>
  <c r="AF6" i="6"/>
  <c r="AC6" i="6"/>
  <c r="Z6" i="6"/>
  <c r="W6" i="6"/>
  <c r="T6" i="6"/>
  <c r="Q6" i="6"/>
  <c r="N6" i="6"/>
  <c r="K6" i="6"/>
  <c r="H6" i="6"/>
  <c r="E6" i="6"/>
  <c r="AM6" i="6"/>
  <c r="AM4" i="6"/>
  <c r="E5" i="6"/>
  <c r="H5" i="6"/>
  <c r="K5" i="6"/>
  <c r="N5" i="6"/>
  <c r="Q5" i="6"/>
  <c r="T5" i="6"/>
  <c r="W5" i="6"/>
  <c r="Z5" i="6"/>
  <c r="AC5" i="6"/>
  <c r="AF5" i="6"/>
  <c r="AI5" i="6"/>
  <c r="AL5" i="6"/>
  <c r="E42" i="6"/>
  <c r="H42" i="6"/>
  <c r="K42" i="6"/>
  <c r="N42" i="6"/>
  <c r="Q42" i="6"/>
  <c r="T42" i="6"/>
  <c r="W42" i="6"/>
  <c r="Z42" i="6"/>
  <c r="AC42" i="6"/>
  <c r="AF42" i="6"/>
  <c r="AI42" i="6"/>
  <c r="AL42" i="6"/>
  <c r="E43" i="6"/>
  <c r="H43" i="6"/>
  <c r="K43" i="6"/>
  <c r="N43" i="6"/>
  <c r="Q43" i="6"/>
  <c r="T43" i="6"/>
  <c r="W43" i="6"/>
  <c r="Z43" i="6"/>
  <c r="AC43" i="6"/>
  <c r="AF43" i="6"/>
  <c r="AI43" i="6"/>
  <c r="AL43" i="6"/>
  <c r="E44" i="6"/>
  <c r="H44" i="6"/>
  <c r="K44" i="6"/>
  <c r="N44" i="6"/>
  <c r="Q44" i="6"/>
  <c r="T44" i="6"/>
  <c r="W44" i="6"/>
  <c r="Z44" i="6"/>
  <c r="AC44" i="6"/>
  <c r="AF44" i="6"/>
  <c r="AI44" i="6"/>
  <c r="AL44" i="6"/>
  <c r="E45" i="6"/>
  <c r="H45" i="6"/>
  <c r="K45" i="6"/>
  <c r="N45" i="6"/>
  <c r="Q45" i="6"/>
  <c r="T45" i="6"/>
  <c r="W45" i="6"/>
  <c r="Z45" i="6"/>
  <c r="AC45" i="6"/>
  <c r="AF45" i="6"/>
  <c r="AI45" i="6"/>
  <c r="AL45" i="6"/>
  <c r="E46" i="6"/>
  <c r="H46" i="6"/>
  <c r="K46" i="6"/>
  <c r="N46" i="6"/>
  <c r="Q46" i="6"/>
  <c r="T46" i="6"/>
  <c r="W46" i="6"/>
  <c r="Z46" i="6"/>
  <c r="AC46" i="6"/>
  <c r="AF46" i="6"/>
  <c r="AI46" i="6"/>
  <c r="AL46" i="6"/>
  <c r="E47" i="6"/>
  <c r="H47" i="6"/>
  <c r="K47" i="6"/>
  <c r="N47" i="6"/>
  <c r="Q47" i="6"/>
  <c r="T47" i="6"/>
  <c r="W47" i="6"/>
  <c r="Z47" i="6"/>
  <c r="AC47" i="6"/>
  <c r="AF47" i="6"/>
  <c r="AI47" i="6"/>
  <c r="AL47" i="6"/>
  <c r="E48" i="6"/>
  <c r="H48" i="6"/>
  <c r="K48" i="6"/>
  <c r="N48" i="6"/>
  <c r="Q48" i="6"/>
  <c r="T48" i="6"/>
  <c r="W48" i="6"/>
  <c r="Z48" i="6"/>
  <c r="AC48" i="6"/>
  <c r="AF48" i="6"/>
  <c r="AI48" i="6"/>
  <c r="AL48" i="6"/>
  <c r="E49" i="6"/>
  <c r="H49" i="6"/>
  <c r="K49" i="6"/>
  <c r="N49" i="6"/>
  <c r="Q49" i="6"/>
  <c r="T49" i="6"/>
  <c r="W49" i="6"/>
  <c r="Z49" i="6"/>
  <c r="AC49" i="6"/>
  <c r="AF49" i="6"/>
  <c r="AI49" i="6"/>
  <c r="AL49" i="6"/>
  <c r="E50" i="6"/>
  <c r="H50" i="6"/>
  <c r="K50" i="6"/>
  <c r="N50" i="6"/>
  <c r="Q50" i="6"/>
  <c r="T50" i="6"/>
  <c r="W50" i="6"/>
  <c r="Z50" i="6"/>
  <c r="AC50" i="6"/>
  <c r="AF50" i="6"/>
  <c r="AI50" i="6"/>
  <c r="AL50" i="6"/>
  <c r="E51" i="6"/>
  <c r="H51" i="6"/>
  <c r="K51" i="6"/>
  <c r="N51" i="6"/>
  <c r="Q51" i="6"/>
  <c r="T51" i="6"/>
  <c r="W51" i="6"/>
  <c r="Z51" i="6"/>
  <c r="AC51" i="6"/>
  <c r="AF51" i="6"/>
  <c r="AI51" i="6"/>
  <c r="AL51" i="6"/>
  <c r="E52" i="6"/>
  <c r="H52" i="6"/>
  <c r="K52" i="6"/>
  <c r="N52" i="6"/>
  <c r="Q52" i="6"/>
  <c r="T52" i="6"/>
  <c r="W52" i="6"/>
  <c r="Z52" i="6"/>
  <c r="AC52" i="6"/>
  <c r="AF52" i="6"/>
  <c r="AI52" i="6"/>
  <c r="AL52" i="6"/>
  <c r="E53" i="6"/>
  <c r="H53" i="6"/>
  <c r="K53" i="6"/>
  <c r="N53" i="6"/>
  <c r="Q53" i="6"/>
  <c r="T53" i="6"/>
  <c r="W53" i="6"/>
  <c r="Z53" i="6"/>
  <c r="AC53" i="6"/>
  <c r="AF53" i="6"/>
  <c r="AI53" i="6"/>
  <c r="AL53" i="6"/>
  <c r="E54" i="6"/>
  <c r="H54" i="6"/>
  <c r="K54" i="6"/>
  <c r="N54" i="6"/>
  <c r="Q54" i="6"/>
  <c r="T54" i="6"/>
  <c r="W54" i="6"/>
  <c r="Z54" i="6"/>
  <c r="AC54" i="6"/>
  <c r="AF54" i="6"/>
  <c r="AI54" i="6"/>
  <c r="AL54" i="6"/>
  <c r="E55" i="6"/>
  <c r="H55" i="6"/>
  <c r="K55" i="6"/>
  <c r="N55" i="6"/>
  <c r="Q55" i="6"/>
  <c r="T55" i="6"/>
  <c r="W55" i="6"/>
  <c r="Z55" i="6"/>
  <c r="AC55" i="6"/>
  <c r="AF55" i="6"/>
  <c r="AI55" i="6"/>
  <c r="AL55" i="6"/>
  <c r="E56" i="6"/>
  <c r="H56" i="6"/>
  <c r="K56" i="6"/>
  <c r="N56" i="6"/>
  <c r="Q56" i="6"/>
  <c r="T56" i="6"/>
  <c r="W56" i="6"/>
  <c r="Z56" i="6"/>
  <c r="AC56" i="6"/>
  <c r="AF56" i="6"/>
  <c r="AI56" i="6"/>
  <c r="AL56" i="6"/>
  <c r="E57" i="6"/>
  <c r="H57" i="6"/>
  <c r="K57" i="6"/>
  <c r="N57" i="6"/>
  <c r="Q57" i="6"/>
  <c r="T57" i="6"/>
  <c r="W57" i="6"/>
  <c r="Z57" i="6"/>
  <c r="AC57" i="6"/>
  <c r="AF57" i="6"/>
  <c r="AI57" i="6"/>
  <c r="AL57" i="6"/>
  <c r="E58" i="6"/>
  <c r="H58" i="6"/>
  <c r="K58" i="6"/>
  <c r="N58" i="6"/>
  <c r="Q58" i="6"/>
  <c r="T58" i="6"/>
  <c r="W58" i="6"/>
  <c r="Z58" i="6"/>
  <c r="AC58" i="6"/>
  <c r="AF58" i="6"/>
  <c r="AI58" i="6"/>
  <c r="AL58" i="6"/>
  <c r="E59" i="6"/>
  <c r="H59" i="6"/>
  <c r="K59" i="6"/>
  <c r="N59" i="6"/>
  <c r="Q59" i="6"/>
  <c r="T59" i="6"/>
  <c r="W59" i="6"/>
  <c r="Z59" i="6"/>
  <c r="AC59" i="6"/>
  <c r="AF59" i="6"/>
  <c r="AI59" i="6"/>
  <c r="AL59" i="6"/>
  <c r="E60" i="6"/>
  <c r="H60" i="6"/>
  <c r="K60" i="6"/>
  <c r="N60" i="6"/>
  <c r="Q60" i="6"/>
  <c r="T60" i="6"/>
  <c r="W60" i="6"/>
  <c r="Z60" i="6"/>
  <c r="AC60" i="6"/>
  <c r="AF60" i="6"/>
  <c r="AI60" i="6"/>
  <c r="AL60" i="6"/>
  <c r="E61" i="6"/>
  <c r="H61" i="6"/>
  <c r="K61" i="6"/>
  <c r="N61" i="6"/>
  <c r="Q61" i="6"/>
  <c r="T61" i="6"/>
  <c r="W61" i="6"/>
  <c r="Z61" i="6"/>
  <c r="AC61" i="6"/>
  <c r="AF61" i="6"/>
  <c r="AI61" i="6"/>
  <c r="AL61" i="6"/>
  <c r="E62" i="6"/>
  <c r="H62" i="6"/>
  <c r="K62" i="6"/>
  <c r="N62" i="6"/>
  <c r="Q62" i="6"/>
  <c r="T62" i="6"/>
  <c r="W62" i="6"/>
  <c r="Z62" i="6"/>
  <c r="AC62" i="6"/>
  <c r="AF62" i="6"/>
  <c r="AI62" i="6"/>
  <c r="AL62" i="6"/>
  <c r="E63" i="6"/>
  <c r="H63" i="6"/>
  <c r="K63" i="6"/>
  <c r="N63" i="6"/>
  <c r="Q63" i="6"/>
  <c r="T63" i="6"/>
  <c r="W63" i="6"/>
  <c r="Z63" i="6"/>
  <c r="AC63" i="6"/>
  <c r="AF63" i="6"/>
  <c r="AI63" i="6"/>
  <c r="AL63" i="6"/>
  <c r="E64" i="6"/>
  <c r="H64" i="6"/>
  <c r="K64" i="6"/>
  <c r="N64" i="6"/>
  <c r="Q64" i="6"/>
  <c r="T64" i="6"/>
  <c r="W64" i="6"/>
  <c r="Z64" i="6"/>
  <c r="AC64" i="6"/>
  <c r="AF64" i="6"/>
  <c r="AI64" i="6"/>
  <c r="AL64" i="6"/>
  <c r="E65" i="6"/>
  <c r="H65" i="6"/>
  <c r="K65" i="6"/>
  <c r="N65" i="6"/>
  <c r="Q65" i="6"/>
  <c r="T65" i="6"/>
  <c r="W65" i="6"/>
  <c r="Z65" i="6"/>
  <c r="AC65" i="6"/>
  <c r="AF65" i="6"/>
  <c r="AI65" i="6"/>
  <c r="AL65" i="6"/>
  <c r="E66" i="6"/>
  <c r="H66" i="6"/>
  <c r="K66" i="6"/>
  <c r="N66" i="6"/>
  <c r="Q66" i="6"/>
  <c r="T66" i="6"/>
  <c r="W66" i="6"/>
  <c r="Z66" i="6"/>
  <c r="AC66" i="6"/>
  <c r="AF66" i="6"/>
  <c r="AI66" i="6"/>
  <c r="AL66" i="6"/>
  <c r="E67" i="6"/>
  <c r="H67" i="6"/>
  <c r="K67" i="6"/>
  <c r="N67" i="6"/>
  <c r="Q67" i="6"/>
  <c r="T67" i="6"/>
  <c r="W67" i="6"/>
  <c r="Z67" i="6"/>
  <c r="AC67" i="6"/>
  <c r="AF67" i="6"/>
  <c r="AI67" i="6"/>
  <c r="AL67" i="6"/>
  <c r="A68" i="6"/>
  <c r="C68" i="6"/>
  <c r="F68" i="6"/>
  <c r="I68" i="6"/>
  <c r="L68" i="6"/>
  <c r="O68" i="6"/>
  <c r="R68" i="6"/>
  <c r="U68" i="6"/>
  <c r="X68" i="6"/>
  <c r="AA68" i="6"/>
  <c r="AD68" i="6"/>
  <c r="AG68" i="6"/>
  <c r="AJ68" i="6"/>
  <c r="AM67" i="6" l="1"/>
  <c r="AM66" i="6"/>
  <c r="AM65" i="6"/>
  <c r="AM64" i="6"/>
  <c r="AM63" i="6"/>
  <c r="AM62" i="6"/>
  <c r="AM61" i="6"/>
  <c r="AM60" i="6"/>
  <c r="AM59" i="6"/>
  <c r="AM58" i="6"/>
  <c r="AM57" i="6"/>
  <c r="AM56" i="6"/>
  <c r="AM55" i="6"/>
  <c r="AM54" i="6"/>
  <c r="AM53" i="6"/>
  <c r="AM52" i="6"/>
  <c r="AM51" i="6"/>
  <c r="AM50" i="6"/>
  <c r="AM49" i="6"/>
  <c r="AM48" i="6"/>
  <c r="AM47" i="6"/>
  <c r="AM46" i="6"/>
  <c r="AM45" i="6"/>
  <c r="AM44" i="6"/>
  <c r="AM43" i="6"/>
  <c r="AM42" i="6"/>
  <c r="AM5" i="6"/>
  <c r="AM68" i="6" s="1"/>
</calcChain>
</file>

<file path=xl/sharedStrings.xml><?xml version="1.0" encoding="utf-8"?>
<sst xmlns="http://schemas.openxmlformats.org/spreadsheetml/2006/main" count="125" uniqueCount="84">
  <si>
    <t>AVELLANEDA</t>
  </si>
  <si>
    <t>VIERNES</t>
  </si>
  <si>
    <t>SABADO</t>
  </si>
  <si>
    <t>TOTALES</t>
  </si>
  <si>
    <t>Leg.</t>
  </si>
  <si>
    <t>Empleado</t>
  </si>
  <si>
    <t>si</t>
  </si>
  <si>
    <t>Salida</t>
  </si>
  <si>
    <t>Trasnoche</t>
  </si>
  <si>
    <t>DIAS</t>
  </si>
  <si>
    <t>Alfonzo, Facundo Carlos Javier</t>
  </si>
  <si>
    <t>Avalos, Maria de los Angeles</t>
  </si>
  <si>
    <t>Ayala Munoz, Fernando Daniel</t>
  </si>
  <si>
    <t>Barrionuevo, Malena</t>
  </si>
  <si>
    <t>Bruno, Juan Pablo</t>
  </si>
  <si>
    <t>Caceres Arias, Victoria</t>
  </si>
  <si>
    <t>Caceres, Gabino Tomas</t>
  </si>
  <si>
    <t>Carballo, Sofia Itati</t>
  </si>
  <si>
    <t>Carrazano Soriano, Santiago Joaquin</t>
  </si>
  <si>
    <t>Celiz, Galo Valentino</t>
  </si>
  <si>
    <t>Cerveny, Kiara Candela</t>
  </si>
  <si>
    <t>Chavez Imfeld, Thiago Joaquin</t>
  </si>
  <si>
    <t>Collantes, Abel Nicolas</t>
  </si>
  <si>
    <t>De Zan, Nicolas Alberto</t>
  </si>
  <si>
    <t>Dengler, Carla Abigail</t>
  </si>
  <si>
    <t>Dip Brain, Natali Daniela</t>
  </si>
  <si>
    <t>Durante, Joaquin Ignacio</t>
  </si>
  <si>
    <t>Estevez, Samanta Michelle</t>
  </si>
  <si>
    <t>Fernandez, Gimena Noemi</t>
  </si>
  <si>
    <t>Fernandez, Lucia Valentina</t>
  </si>
  <si>
    <t>Ferreira Garay, Aylen</t>
  </si>
  <si>
    <t>Fuentes, Camilo Benjamin</t>
  </si>
  <si>
    <t>Gomez, Federico Daniel</t>
  </si>
  <si>
    <t>Gomez, Sofia Celeste</t>
  </si>
  <si>
    <t>Gonzalez Rodas, Araceli Abigail</t>
  </si>
  <si>
    <t>Gonzalez, Melany Morena</t>
  </si>
  <si>
    <t>Gutierrez, Betiana Lara</t>
  </si>
  <si>
    <t>Herrera, Alejandro Ismael</t>
  </si>
  <si>
    <t>Imfeld, Benjamin Nahuel</t>
  </si>
  <si>
    <t>Insaurralde, Jano Leonel</t>
  </si>
  <si>
    <t>Lagos, Juan Manuel</t>
  </si>
  <si>
    <t>Leguizamon, Santiago Valentin</t>
  </si>
  <si>
    <t>Lescano, Federico Nahuel</t>
  </si>
  <si>
    <t>Lezcano Matto, Dana Luciana</t>
  </si>
  <si>
    <t>Llanos, Gonzalo Damian</t>
  </si>
  <si>
    <t>Lopez, Tomas Santino</t>
  </si>
  <si>
    <t>Lucena, Juanita Ludmila</t>
  </si>
  <si>
    <t>Mari, Florencia Gabriela</t>
  </si>
  <si>
    <t>Monzon, Brian Maximiliano</t>
  </si>
  <si>
    <t>Nicola Almiron, Sofia Daniela</t>
  </si>
  <si>
    <t>Ortiz, Andres Sebastian</t>
  </si>
  <si>
    <t>Otero, Gustavo Damian</t>
  </si>
  <si>
    <t>Ovejero, Pamela Deborah</t>
  </si>
  <si>
    <t>Painceira, Agustina Belen</t>
  </si>
  <si>
    <t>Pedrozo Coronel, Johana Ester</t>
  </si>
  <si>
    <t>Ramirez Contreras, Marilyn Marlene</t>
  </si>
  <si>
    <t>Rodriguez, Enzo Gustavo</t>
  </si>
  <si>
    <t>Ruiz, Matilde Carolina</t>
  </si>
  <si>
    <t>Salias Dobrodenka, Maximo Gabriel</t>
  </si>
  <si>
    <t>Salinas, Iara Yazmin</t>
  </si>
  <si>
    <t>Santana, Juan Cruz</t>
  </si>
  <si>
    <t>Segovia Coronel, Candela Morena</t>
  </si>
  <si>
    <t>Sosa, Noelia Elizabeth</t>
  </si>
  <si>
    <t>Sotelo, Vanina Micaela</t>
  </si>
  <si>
    <t>Terrio, Julieta Macarena</t>
  </si>
  <si>
    <t>Toledo, Solange Rocio</t>
  </si>
  <si>
    <t>Travaglini, Matias Agustin</t>
  </si>
  <si>
    <t>Tur Gimenez, Carlos Agustin</t>
  </si>
  <si>
    <t>Urquiza, Sebastian Alejandro</t>
  </si>
  <si>
    <t>Vallejos Valdez, Angel Ivan</t>
  </si>
  <si>
    <t>Vandecaveye, Marcelo Alejandro</t>
  </si>
  <si>
    <t>Vega, Barbara Alejandra</t>
  </si>
  <si>
    <t>Zaza, Thiago Stefano</t>
  </si>
  <si>
    <t>Zisuela, Josefina Lilen</t>
  </si>
  <si>
    <t>TRASNOCHES POR DIA</t>
  </si>
  <si>
    <t>Cargar solamente los datos de los turnos de las personas que trabajaron específicamente para el trasnoche.</t>
  </si>
  <si>
    <t>Si los empleados están dados de baja, no borren las filas, por favor, que los datos los necesitamos cargados igual para poder pagar las liquidaciones finales.</t>
  </si>
  <si>
    <t>Si hay empleados que no están porque son nuevos ingresos, los pueden agregar. CUIDADO con las fórmulas y con el Nº de Legajo.</t>
  </si>
  <si>
    <t>Ver Trasnoche en día Previo de Feriado si hay.</t>
  </si>
  <si>
    <t>Ver que estén cargados los proyeccionistas y los chicos nuevos.</t>
  </si>
  <si>
    <t>Ver Viernes. A veces no hay trasnoches en Viernes según el Complejo.</t>
  </si>
  <si>
    <t>Ver Turnos cortos, verificar con Nel. Cargar los que efectivamente se trabajen para el Trasnoche.</t>
  </si>
  <si>
    <t>Ver que estén cargados todos los Viernes y Sábados del mes calendario.</t>
  </si>
  <si>
    <t>Ver Bajas, acordarse de cargale los datos para que salgan con la liquidación.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</si>
</sst>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2]\ * #,##0.00_ ;_ [$€-2]\ * \-#,##0.00_ ;_ [$€-2]\ * &quot;-&quot;??_ "/>
  </numFmts>
  <fonts count="8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>
      <alignment vertical="top"/>
    </xf>
    <xf numFmtId="164" fontId="1" fillId="0" borderId="0" applyFont="0" applyFill="0" applyBorder="0" applyAlignment="0" applyProtection="0"/>
    <xf numFmtId="0" fontId="3" fillId="0" borderId="0">
      <alignment vertical="top"/>
    </xf>
    <xf numFmtId="0" fontId="4" fillId="0" borderId="0"/>
  </cellStyleXfs>
  <cellXfs count="72">
    <xf numFmtId="0" fontId="0" fillId="0" borderId="0" xfId="0" applyAlignment="1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20" fontId="3" fillId="3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15" xfId="0" applyNumberFormat="1" applyFont="1" applyBorder="1" applyAlignment="1">
      <alignment horizontal="center" vertical="center"/>
    </xf>
    <xf numFmtId="20" fontId="3" fillId="0" borderId="16" xfId="0" applyNumberFormat="1" applyFont="1" applyBorder="1" applyAlignment="1">
      <alignment horizontal="center" vertical="center"/>
    </xf>
    <xf numFmtId="0" fontId="2" fillId="5" borderId="1" xfId="3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6" fontId="2" fillId="2" borderId="18" xfId="0" applyNumberFormat="1" applyFont="1" applyFill="1" applyBorder="1" applyAlignment="1">
      <alignment horizontal="left" vertical="center"/>
    </xf>
    <xf numFmtId="16" fontId="2" fillId="2" borderId="19" xfId="0" applyNumberFormat="1" applyFont="1" applyFill="1" applyBorder="1" applyAlignment="1">
      <alignment horizontal="center" vertical="center"/>
    </xf>
    <xf numFmtId="16" fontId="2" fillId="2" borderId="20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20" fontId="3" fillId="0" borderId="21" xfId="0" applyNumberFormat="1" applyFont="1" applyBorder="1" applyAlignment="1">
      <alignment horizontal="center" vertical="center"/>
    </xf>
    <xf numFmtId="20" fontId="3" fillId="0" borderId="22" xfId="0" applyNumberFormat="1" applyFont="1" applyBorder="1" applyAlignment="1">
      <alignment horizontal="center" vertical="center"/>
    </xf>
    <xf numFmtId="20" fontId="3" fillId="5" borderId="23" xfId="0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7" xfId="3" applyFont="1" applyBorder="1" applyAlignment="1">
      <alignment horizontal="left" vertical="center" wrapText="1" indent="1"/>
    </xf>
    <xf numFmtId="0" fontId="6" fillId="0" borderId="24" xfId="3" applyFont="1" applyBorder="1" applyAlignment="1">
      <alignment horizontal="left" vertical="center" wrapText="1" indent="1"/>
    </xf>
    <xf numFmtId="0" fontId="7" fillId="0" borderId="27" xfId="3" applyFont="1" applyBorder="1" applyAlignment="1">
      <alignment horizontal="center" vertical="center" wrapText="1"/>
    </xf>
    <xf numFmtId="16" fontId="3" fillId="0" borderId="0" xfId="0" applyNumberFormat="1" applyFont="1" applyAlignment="1">
      <alignment vertical="center"/>
    </xf>
    <xf numFmtId="0" fontId="3" fillId="4" borderId="25" xfId="0" applyFont="1" applyFill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20" fontId="3" fillId="5" borderId="28" xfId="0" applyNumberFormat="1" applyFont="1" applyFill="1" applyBorder="1" applyAlignment="1">
      <alignment horizontal="center" vertical="center"/>
    </xf>
    <xf numFmtId="0" fontId="7" fillId="8" borderId="27" xfId="3" applyFont="1" applyFill="1" applyBorder="1" applyAlignment="1">
      <alignment horizontal="center" vertical="center" wrapText="1"/>
    </xf>
    <xf numFmtId="0" fontId="7" fillId="9" borderId="27" xfId="3" applyFont="1" applyFill="1" applyBorder="1" applyAlignment="1">
      <alignment horizontal="center" vertical="center" wrapText="1"/>
    </xf>
    <xf numFmtId="16" fontId="2" fillId="8" borderId="18" xfId="0" applyNumberFormat="1" applyFont="1" applyFill="1" applyBorder="1" applyAlignment="1">
      <alignment horizontal="left" vertical="center"/>
    </xf>
    <xf numFmtId="16" fontId="2" fillId="8" borderId="19" xfId="0" applyNumberFormat="1" applyFont="1" applyFill="1" applyBorder="1" applyAlignment="1">
      <alignment horizontal="center" vertical="center"/>
    </xf>
    <xf numFmtId="16" fontId="2" fillId="8" borderId="20" xfId="0" applyNumberFormat="1" applyFont="1" applyFill="1" applyBorder="1" applyAlignment="1">
      <alignment horizontal="center" vertical="center"/>
    </xf>
    <xf numFmtId="0" fontId="7" fillId="10" borderId="27" xfId="3" applyFont="1" applyFill="1" applyBorder="1" applyAlignment="1">
      <alignment horizontal="center" vertical="center" wrapText="1"/>
    </xf>
    <xf numFmtId="0" fontId="7" fillId="10" borderId="23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left" vertical="center" indent="1"/>
    </xf>
    <xf numFmtId="0" fontId="3" fillId="3" borderId="19" xfId="0" applyFont="1" applyFill="1" applyBorder="1" applyAlignment="1">
      <alignment horizontal="left" vertical="center" indent="1"/>
    </xf>
    <xf numFmtId="0" fontId="3" fillId="3" borderId="20" xfId="0" applyFont="1" applyFill="1" applyBorder="1" applyAlignment="1">
      <alignment horizontal="left" vertical="center" indent="1"/>
    </xf>
    <xf numFmtId="0" fontId="2" fillId="3" borderId="8" xfId="0" applyFont="1" applyFill="1" applyBorder="1" applyAlignment="1">
      <alignment horizontal="left" vertical="center" indent="1"/>
    </xf>
    <xf numFmtId="0" fontId="2" fillId="3" borderId="9" xfId="0" applyFont="1" applyFill="1" applyBorder="1" applyAlignment="1">
      <alignment horizontal="left" vertical="center" indent="1"/>
    </xf>
    <xf numFmtId="0" fontId="2" fillId="3" borderId="10" xfId="0" applyFont="1" applyFill="1" applyBorder="1" applyAlignment="1">
      <alignment horizontal="left" vertical="center" indent="1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4">
    <cellStyle name="Euro" xfId="1" xr:uid="{9952D1F0-1A66-453D-A2D7-3D6BBDC25801}"/>
    <cellStyle name="Normal" xfId="0" builtinId="0"/>
    <cellStyle name="Normal 2 2" xfId="2" xr:uid="{1C10DE02-FFD9-4F46-97B5-4E4CA1B2C47A}"/>
    <cellStyle name="Normal_Hoja1" xfId="3" xr:uid="{FCB442E0-43A2-4503-B86E-D110282358A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nepolisonline-my.sharepoint.com/personal/celopez_cinepolis_com/Documents/SAP%20BAJADAS%20DRIVE/LIQUIDS%20A&#209;O%202026/LIQUID%20MAYO%202026/Bajas%20Complejos%20-%20BAJAS%20MAY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JAS"/>
      <sheetName val="x Motivo"/>
      <sheetName val="x Tipo Contrato"/>
      <sheetName val="X Puesto"/>
    </sheetNames>
    <sheetDataSet>
      <sheetData sheetId="0">
        <row r="3">
          <cell r="A3"/>
          <cell r="B3"/>
          <cell r="C3"/>
          <cell r="D3"/>
        </row>
        <row r="4">
          <cell r="A4">
            <v>11974</v>
          </cell>
          <cell r="B4">
            <v>20393771489</v>
          </cell>
          <cell r="C4" t="str">
            <v>Egliens</v>
          </cell>
          <cell r="D4" t="str">
            <v>Gaston Gabriel</v>
          </cell>
        </row>
        <row r="5">
          <cell r="A5"/>
          <cell r="B5"/>
          <cell r="C5"/>
          <cell r="D5"/>
        </row>
        <row r="6">
          <cell r="A6">
            <v>12196</v>
          </cell>
          <cell r="B6" t="str">
            <v>27447579907</v>
          </cell>
          <cell r="C6" t="str">
            <v>Rodriguez Nievas</v>
          </cell>
          <cell r="D6" t="str">
            <v>Azul Nerea</v>
          </cell>
        </row>
        <row r="7">
          <cell r="A7"/>
          <cell r="B7"/>
          <cell r="C7"/>
          <cell r="D7"/>
        </row>
        <row r="8">
          <cell r="A8">
            <v>12532</v>
          </cell>
          <cell r="B8" t="str">
            <v>20435533990</v>
          </cell>
          <cell r="C8" t="str">
            <v>Paz</v>
          </cell>
          <cell r="D8" t="str">
            <v>Santiago Javier</v>
          </cell>
        </row>
        <row r="9">
          <cell r="A9"/>
          <cell r="B9"/>
          <cell r="C9"/>
          <cell r="D9"/>
        </row>
        <row r="10">
          <cell r="A10">
            <v>12447</v>
          </cell>
          <cell r="B10" t="str">
            <v>20444035286</v>
          </cell>
          <cell r="C10" t="str">
            <v>Pereyra</v>
          </cell>
          <cell r="D10" t="str">
            <v>Agustin Alejandro</v>
          </cell>
        </row>
        <row r="11">
          <cell r="A11">
            <v>12448</v>
          </cell>
          <cell r="B11" t="str">
            <v>20425046390</v>
          </cell>
          <cell r="C11" t="str">
            <v>Sanchez Donoso</v>
          </cell>
          <cell r="D11" t="str">
            <v>Hernan Yoel</v>
          </cell>
        </row>
        <row r="12">
          <cell r="A12">
            <v>12452</v>
          </cell>
          <cell r="B12" t="str">
            <v>27437234669</v>
          </cell>
          <cell r="C12" t="str">
            <v>Filippini</v>
          </cell>
          <cell r="D12" t="str">
            <v>Agostina Angelica</v>
          </cell>
        </row>
        <row r="13">
          <cell r="A13">
            <v>12454</v>
          </cell>
          <cell r="B13" t="str">
            <v>27424348398</v>
          </cell>
          <cell r="C13" t="str">
            <v>Pavon</v>
          </cell>
          <cell r="D13" t="str">
            <v>Ana Laura</v>
          </cell>
        </row>
        <row r="14">
          <cell r="A14">
            <v>12463</v>
          </cell>
          <cell r="B14" t="str">
            <v>20463334472</v>
          </cell>
          <cell r="C14" t="str">
            <v>Aguilar</v>
          </cell>
          <cell r="D14" t="str">
            <v>Matias Daniel</v>
          </cell>
        </row>
        <row r="15">
          <cell r="A15">
            <v>12465</v>
          </cell>
          <cell r="B15" t="str">
            <v>27462747395</v>
          </cell>
          <cell r="C15" t="str">
            <v>Borda</v>
          </cell>
          <cell r="D15" t="str">
            <v>Veronica Valeria</v>
          </cell>
        </row>
        <row r="16">
          <cell r="A16">
            <v>12466</v>
          </cell>
          <cell r="B16" t="str">
            <v>27458157281</v>
          </cell>
          <cell r="C16" t="str">
            <v>Villarreal</v>
          </cell>
          <cell r="D16" t="str">
            <v>Milagros Fernanda</v>
          </cell>
        </row>
        <row r="17">
          <cell r="A17">
            <v>12468</v>
          </cell>
          <cell r="B17" t="str">
            <v>20459068814</v>
          </cell>
          <cell r="C17" t="str">
            <v>Kagel</v>
          </cell>
          <cell r="D17" t="str">
            <v>Kevin Isaias</v>
          </cell>
        </row>
        <row r="18">
          <cell r="A18">
            <v>12469</v>
          </cell>
          <cell r="B18" t="str">
            <v>27421943686</v>
          </cell>
          <cell r="C18" t="str">
            <v>Peraza</v>
          </cell>
          <cell r="D18" t="str">
            <v>Ariana Selene Denise</v>
          </cell>
        </row>
        <row r="19">
          <cell r="A19">
            <v>12485</v>
          </cell>
          <cell r="B19" t="str">
            <v>27471479026</v>
          </cell>
          <cell r="C19" t="str">
            <v>Pavon</v>
          </cell>
          <cell r="D19" t="str">
            <v>Julieta</v>
          </cell>
        </row>
        <row r="20">
          <cell r="A20">
            <v>12514</v>
          </cell>
          <cell r="B20" t="str">
            <v>27441324702</v>
          </cell>
          <cell r="C20" t="str">
            <v>Perez</v>
          </cell>
          <cell r="D20" t="str">
            <v>Abril Daniela</v>
          </cell>
        </row>
        <row r="21">
          <cell r="A21">
            <v>12522</v>
          </cell>
          <cell r="B21" t="str">
            <v>20454511736</v>
          </cell>
          <cell r="C21" t="str">
            <v>Martinez</v>
          </cell>
          <cell r="D21" t="str">
            <v>Sergio David</v>
          </cell>
        </row>
        <row r="22">
          <cell r="A22">
            <v>12536</v>
          </cell>
          <cell r="B22" t="str">
            <v>27478111016</v>
          </cell>
          <cell r="C22" t="str">
            <v>Alonso Ruiz</v>
          </cell>
          <cell r="D22" t="str">
            <v>Ana Laura</v>
          </cell>
        </row>
        <row r="23">
          <cell r="A23">
            <v>12541</v>
          </cell>
          <cell r="B23" t="str">
            <v>20452564352</v>
          </cell>
          <cell r="C23" t="str">
            <v>Musa Stol</v>
          </cell>
          <cell r="D23" t="str">
            <v>Luciano Jesus</v>
          </cell>
        </row>
        <row r="24">
          <cell r="A24"/>
          <cell r="B24"/>
          <cell r="C24"/>
          <cell r="D24"/>
        </row>
        <row r="25">
          <cell r="A25"/>
          <cell r="B25"/>
          <cell r="C25"/>
          <cell r="D25"/>
        </row>
        <row r="26">
          <cell r="A26">
            <v>12481</v>
          </cell>
          <cell r="B26" t="str">
            <v>27461246570</v>
          </cell>
          <cell r="C26" t="str">
            <v>Alfonso</v>
          </cell>
          <cell r="D26" t="str">
            <v>Agustina Sofia</v>
          </cell>
        </row>
        <row r="27">
          <cell r="A27">
            <v>12483</v>
          </cell>
          <cell r="B27" t="str">
            <v>20951105679</v>
          </cell>
          <cell r="C27" t="str">
            <v>Rodriguez Flores</v>
          </cell>
          <cell r="D27" t="str">
            <v>Jacques Adrian</v>
          </cell>
        </row>
        <row r="28">
          <cell r="A28">
            <v>12489</v>
          </cell>
          <cell r="B28" t="str">
            <v>20433971311</v>
          </cell>
          <cell r="C28" t="str">
            <v>Villan</v>
          </cell>
          <cell r="D28" t="str">
            <v>Lautaro Valentin</v>
          </cell>
        </row>
        <row r="29">
          <cell r="A29">
            <v>12492</v>
          </cell>
          <cell r="B29" t="str">
            <v>27472061971</v>
          </cell>
          <cell r="C29" t="str">
            <v>Caisson</v>
          </cell>
          <cell r="D29" t="str">
            <v>Sofia Jazmin</v>
          </cell>
        </row>
        <row r="30">
          <cell r="A30"/>
          <cell r="B30"/>
          <cell r="C30"/>
          <cell r="D30"/>
        </row>
        <row r="31">
          <cell r="A31">
            <v>12494</v>
          </cell>
          <cell r="B31" t="str">
            <v>27457221261</v>
          </cell>
          <cell r="C31" t="str">
            <v>Ferreyra</v>
          </cell>
          <cell r="D31" t="str">
            <v>Agostina Oriana</v>
          </cell>
        </row>
        <row r="32">
          <cell r="A32">
            <v>12495</v>
          </cell>
          <cell r="B32" t="str">
            <v>27472711909</v>
          </cell>
          <cell r="C32" t="str">
            <v>Sekulin Peralta</v>
          </cell>
          <cell r="D32" t="str">
            <v>Maira Janet</v>
          </cell>
        </row>
        <row r="33">
          <cell r="A33"/>
          <cell r="B33"/>
          <cell r="C33"/>
          <cell r="D33"/>
        </row>
        <row r="34">
          <cell r="A34">
            <v>12472</v>
          </cell>
          <cell r="B34" t="str">
            <v>27444816371</v>
          </cell>
          <cell r="C34" t="str">
            <v>Lepen</v>
          </cell>
          <cell r="D34" t="str">
            <v>Natali Yazmin</v>
          </cell>
        </row>
        <row r="35">
          <cell r="A35">
            <v>12473</v>
          </cell>
          <cell r="B35" t="str">
            <v>20434215669</v>
          </cell>
          <cell r="C35" t="str">
            <v>Ibanez Dillon</v>
          </cell>
          <cell r="D35" t="str">
            <v>Facundo Nicolas</v>
          </cell>
        </row>
        <row r="36">
          <cell r="A36">
            <v>12474</v>
          </cell>
          <cell r="B36" t="str">
            <v>23464042644</v>
          </cell>
          <cell r="C36" t="str">
            <v>Lastra</v>
          </cell>
          <cell r="D36" t="str">
            <v>Leila Belen</v>
          </cell>
        </row>
        <row r="37">
          <cell r="A37"/>
          <cell r="B37"/>
          <cell r="C37"/>
          <cell r="D37"/>
        </row>
        <row r="38">
          <cell r="A38">
            <v>12479</v>
          </cell>
          <cell r="B38" t="str">
            <v>27453228547</v>
          </cell>
          <cell r="C38" t="str">
            <v>Delgado Benitez</v>
          </cell>
          <cell r="D38" t="str">
            <v>Melany Tamara</v>
          </cell>
        </row>
        <row r="39">
          <cell r="A39">
            <v>12499</v>
          </cell>
          <cell r="B39" t="str">
            <v>20477592245</v>
          </cell>
          <cell r="C39" t="str">
            <v>Arguelles</v>
          </cell>
          <cell r="D39" t="str">
            <v>Joaquin Manuel</v>
          </cell>
        </row>
        <row r="40">
          <cell r="A40"/>
          <cell r="B40"/>
          <cell r="C40"/>
          <cell r="D40"/>
        </row>
        <row r="41">
          <cell r="A41">
            <v>9301</v>
          </cell>
          <cell r="B41">
            <v>20390622652</v>
          </cell>
          <cell r="C41" t="str">
            <v>Mirabal</v>
          </cell>
          <cell r="D41" t="str">
            <v>Ezequiel Elias Edison</v>
          </cell>
        </row>
        <row r="42">
          <cell r="A42">
            <v>12455</v>
          </cell>
          <cell r="B42" t="str">
            <v>23449373324</v>
          </cell>
          <cell r="C42" t="str">
            <v>Luna</v>
          </cell>
          <cell r="D42" t="str">
            <v>Julieta</v>
          </cell>
        </row>
        <row r="43">
          <cell r="A43"/>
          <cell r="B43"/>
          <cell r="C43" t="str">
            <v>Azucena</v>
          </cell>
          <cell r="D43"/>
        </row>
        <row r="44">
          <cell r="A44"/>
          <cell r="B44"/>
          <cell r="C44"/>
          <cell r="D44"/>
        </row>
        <row r="45">
          <cell r="A45">
            <v>9301</v>
          </cell>
          <cell r="B45">
            <v>20390622652</v>
          </cell>
          <cell r="C45" t="str">
            <v>Mirabal</v>
          </cell>
          <cell r="D45" t="str">
            <v>Ezequiel Elias Edison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84E9-3FAE-48AF-800C-790886B69469}">
  <dimension ref="A1:AV79"/>
  <sheetViews>
    <sheetView tabSelected="1" zoomScale="80" zoomScaleNormal="80" workbookViewId="0">
      <pane xSplit="2" ySplit="3" topLeftCell="P13" activePane="bottomRight" state="frozenSplit"/>
      <selection pane="bottomRight" activeCell="S23" sqref="S23"/>
      <selection pane="bottomLeft" activeCell="A14" sqref="A14"/>
      <selection pane="topRight" activeCell="G1" sqref="G1"/>
    </sheetView>
  </sheetViews>
  <sheetFormatPr defaultColWidth="11.42578125" defaultRowHeight="12.75"/>
  <cols>
    <col min="1" max="1" width="10" style="2" customWidth="1"/>
    <col min="2" max="2" width="48.5703125" style="4" customWidth="1"/>
    <col min="3" max="11" width="9.7109375" style="4" customWidth="1"/>
    <col min="12" max="12" width="9.5703125" style="1" customWidth="1"/>
    <col min="13" max="38" width="9.7109375" style="1" customWidth="1"/>
    <col min="39" max="16384" width="11.42578125" style="1"/>
  </cols>
  <sheetData>
    <row r="1" spans="1:42" ht="13.5" thickBot="1">
      <c r="A1" s="68" t="s">
        <v>0</v>
      </c>
      <c r="B1" s="69"/>
      <c r="C1" s="21" t="s">
        <v>1</v>
      </c>
      <c r="D1" s="22"/>
      <c r="E1" s="23"/>
      <c r="F1" s="21" t="s">
        <v>2</v>
      </c>
      <c r="G1" s="22"/>
      <c r="H1" s="23"/>
      <c r="I1" s="21" t="s">
        <v>1</v>
      </c>
      <c r="J1" s="22"/>
      <c r="K1" s="23"/>
      <c r="L1" s="21" t="s">
        <v>2</v>
      </c>
      <c r="M1" s="22"/>
      <c r="N1" s="23"/>
      <c r="O1" s="21" t="s">
        <v>1</v>
      </c>
      <c r="P1" s="22"/>
      <c r="Q1" s="23"/>
      <c r="R1" s="21" t="s">
        <v>2</v>
      </c>
      <c r="S1" s="22"/>
      <c r="T1" s="23"/>
      <c r="U1" s="21" t="s">
        <v>1</v>
      </c>
      <c r="V1" s="22"/>
      <c r="W1" s="23"/>
      <c r="X1" s="21" t="s">
        <v>2</v>
      </c>
      <c r="Y1" s="22"/>
      <c r="Z1" s="23"/>
      <c r="AA1" s="21" t="s">
        <v>1</v>
      </c>
      <c r="AB1" s="22"/>
      <c r="AC1" s="23"/>
      <c r="AD1" s="21"/>
      <c r="AE1" s="22"/>
      <c r="AF1" s="23"/>
      <c r="AG1" s="21"/>
      <c r="AH1" s="22"/>
      <c r="AI1" s="23"/>
      <c r="AJ1" s="21"/>
      <c r="AK1" s="22"/>
      <c r="AL1" s="23"/>
      <c r="AM1" s="60" t="s">
        <v>3</v>
      </c>
      <c r="AN1"/>
    </row>
    <row r="2" spans="1:42" ht="13.5" thickBot="1">
      <c r="A2" s="70"/>
      <c r="B2" s="71"/>
      <c r="C2" s="44">
        <v>46206</v>
      </c>
      <c r="D2" s="45"/>
      <c r="E2" s="46"/>
      <c r="F2" s="24">
        <f>C2+1</f>
        <v>46207</v>
      </c>
      <c r="G2" s="25"/>
      <c r="H2" s="26"/>
      <c r="I2" s="24">
        <f>F2+6</f>
        <v>46213</v>
      </c>
      <c r="J2" s="25"/>
      <c r="K2" s="26"/>
      <c r="L2" s="24">
        <f>I2+1</f>
        <v>46214</v>
      </c>
      <c r="M2" s="25"/>
      <c r="N2" s="26"/>
      <c r="O2" s="24">
        <f>L2+6</f>
        <v>46220</v>
      </c>
      <c r="P2" s="25"/>
      <c r="Q2" s="26"/>
      <c r="R2" s="24">
        <f>O2+1</f>
        <v>46221</v>
      </c>
      <c r="S2" s="25"/>
      <c r="T2" s="26"/>
      <c r="U2" s="24">
        <f>R2+6</f>
        <v>46227</v>
      </c>
      <c r="V2" s="25"/>
      <c r="W2" s="26"/>
      <c r="X2" s="24">
        <f>U2+1</f>
        <v>46228</v>
      </c>
      <c r="Y2" s="25"/>
      <c r="Z2" s="26"/>
      <c r="AA2" s="24">
        <f>X2+6</f>
        <v>46234</v>
      </c>
      <c r="AB2" s="25"/>
      <c r="AC2" s="26"/>
      <c r="AD2" s="24"/>
      <c r="AE2" s="25"/>
      <c r="AF2" s="26"/>
      <c r="AG2" s="24"/>
      <c r="AH2" s="25"/>
      <c r="AI2" s="26"/>
      <c r="AJ2" s="24"/>
      <c r="AK2" s="25"/>
      <c r="AL2" s="26"/>
      <c r="AM2" s="61"/>
      <c r="AN2"/>
    </row>
    <row r="3" spans="1:42" ht="13.5" thickBot="1">
      <c r="A3" s="12" t="s">
        <v>4</v>
      </c>
      <c r="B3" s="23" t="s">
        <v>5</v>
      </c>
      <c r="C3" s="13" t="s">
        <v>6</v>
      </c>
      <c r="D3" s="50" t="s">
        <v>7</v>
      </c>
      <c r="E3" s="49" t="s">
        <v>8</v>
      </c>
      <c r="F3" s="13" t="s">
        <v>6</v>
      </c>
      <c r="G3" s="50" t="s">
        <v>7</v>
      </c>
      <c r="H3" s="49" t="s">
        <v>8</v>
      </c>
      <c r="I3" s="27" t="s">
        <v>6</v>
      </c>
      <c r="J3" s="27" t="s">
        <v>7</v>
      </c>
      <c r="K3" s="27" t="s">
        <v>8</v>
      </c>
      <c r="L3" s="13" t="s">
        <v>6</v>
      </c>
      <c r="M3" s="50" t="s">
        <v>7</v>
      </c>
      <c r="N3" s="49" t="s">
        <v>8</v>
      </c>
      <c r="O3" s="13" t="s">
        <v>6</v>
      </c>
      <c r="P3" s="50" t="s">
        <v>7</v>
      </c>
      <c r="Q3" s="12" t="s">
        <v>8</v>
      </c>
      <c r="R3" s="13" t="s">
        <v>6</v>
      </c>
      <c r="S3" s="51" t="s">
        <v>7</v>
      </c>
      <c r="T3" s="52" t="s">
        <v>8</v>
      </c>
      <c r="U3" s="53" t="s">
        <v>6</v>
      </c>
      <c r="V3" s="51" t="s">
        <v>7</v>
      </c>
      <c r="W3" s="52" t="s">
        <v>8</v>
      </c>
      <c r="X3" s="53" t="s">
        <v>6</v>
      </c>
      <c r="Y3" s="51" t="s">
        <v>7</v>
      </c>
      <c r="Z3" s="52" t="s">
        <v>8</v>
      </c>
      <c r="AA3" s="53" t="s">
        <v>6</v>
      </c>
      <c r="AB3" s="51" t="s">
        <v>7</v>
      </c>
      <c r="AC3" s="52" t="s">
        <v>8</v>
      </c>
      <c r="AD3" s="53" t="s">
        <v>6</v>
      </c>
      <c r="AE3" s="51" t="s">
        <v>7</v>
      </c>
      <c r="AF3" s="52" t="s">
        <v>8</v>
      </c>
      <c r="AG3" s="53" t="s">
        <v>6</v>
      </c>
      <c r="AH3" s="51" t="s">
        <v>7</v>
      </c>
      <c r="AI3" s="52" t="s">
        <v>8</v>
      </c>
      <c r="AJ3" s="53" t="s">
        <v>6</v>
      </c>
      <c r="AK3" s="51" t="s">
        <v>7</v>
      </c>
      <c r="AL3" s="52" t="s">
        <v>8</v>
      </c>
      <c r="AM3" s="49" t="s">
        <v>9</v>
      </c>
      <c r="AN3"/>
    </row>
    <row r="4" spans="1:42" ht="16.5" customHeight="1" thickBot="1">
      <c r="A4" s="47">
        <v>12636</v>
      </c>
      <c r="B4" s="35" t="s">
        <v>10</v>
      </c>
      <c r="C4" s="18"/>
      <c r="D4" s="17"/>
      <c r="E4" s="3">
        <v>0</v>
      </c>
      <c r="F4" s="39"/>
      <c r="G4" s="40"/>
      <c r="H4" s="3">
        <v>0</v>
      </c>
      <c r="I4" s="39"/>
      <c r="J4" s="40"/>
      <c r="K4" s="3">
        <v>0</v>
      </c>
      <c r="L4" s="39"/>
      <c r="M4" s="40"/>
      <c r="N4" s="3">
        <v>0</v>
      </c>
      <c r="O4" s="39"/>
      <c r="P4" s="40"/>
      <c r="Q4" s="3">
        <v>0</v>
      </c>
      <c r="R4" s="39"/>
      <c r="S4" s="40"/>
      <c r="T4" s="3">
        <v>0</v>
      </c>
      <c r="U4" s="32"/>
      <c r="V4" s="40"/>
      <c r="W4" s="3">
        <v>0</v>
      </c>
      <c r="X4" s="39"/>
      <c r="Y4" s="40"/>
      <c r="Z4" s="3">
        <v>0</v>
      </c>
      <c r="AA4" s="39"/>
      <c r="AB4" s="40"/>
      <c r="AC4" s="3">
        <v>0</v>
      </c>
      <c r="AD4" s="39"/>
      <c r="AE4" s="40"/>
      <c r="AF4" s="3">
        <v>0</v>
      </c>
      <c r="AG4" s="39"/>
      <c r="AH4" s="40"/>
      <c r="AI4" s="3">
        <v>0</v>
      </c>
      <c r="AJ4" s="18"/>
      <c r="AK4" s="17"/>
      <c r="AL4" s="3">
        <v>0</v>
      </c>
      <c r="AM4" s="54">
        <f>COUNTIF(C4:AL4,"si")</f>
        <v>0</v>
      </c>
      <c r="AN4" s="34"/>
      <c r="AP4" s="1" t="e">
        <f>VLOOKUP(A4,[1]BAJAS!$A$3:$D$45,3,FALSE)</f>
        <v>#N/A</v>
      </c>
    </row>
    <row r="5" spans="1:42" ht="16.5" customHeight="1">
      <c r="A5" s="37">
        <v>11864</v>
      </c>
      <c r="B5" s="35" t="s">
        <v>11</v>
      </c>
      <c r="C5" s="18"/>
      <c r="D5" s="17"/>
      <c r="E5" s="41">
        <f t="shared" ref="E5:E67" si="0">E$4</f>
        <v>0</v>
      </c>
      <c r="F5" s="18"/>
      <c r="G5" s="17"/>
      <c r="H5" s="41">
        <f t="shared" ref="H5:H67" si="1">H$4</f>
        <v>0</v>
      </c>
      <c r="I5" s="18"/>
      <c r="J5" s="17"/>
      <c r="K5" s="41">
        <f t="shared" ref="K5:K67" si="2">K$4</f>
        <v>0</v>
      </c>
      <c r="L5" s="18"/>
      <c r="M5" s="17"/>
      <c r="N5" s="41">
        <f t="shared" ref="N5:N67" si="3">N$4</f>
        <v>0</v>
      </c>
      <c r="O5" s="18"/>
      <c r="P5" s="17"/>
      <c r="Q5" s="41">
        <f t="shared" ref="Q5:Q67" si="4">Q$4</f>
        <v>0</v>
      </c>
      <c r="R5" s="18"/>
      <c r="S5" s="17"/>
      <c r="T5" s="41">
        <f t="shared" ref="T5:T67" si="5">T$4</f>
        <v>0</v>
      </c>
      <c r="U5" s="32"/>
      <c r="V5" s="17"/>
      <c r="W5" s="41">
        <f t="shared" ref="W5:W67" si="6">W$4</f>
        <v>0</v>
      </c>
      <c r="X5" s="18"/>
      <c r="Y5" s="17"/>
      <c r="Z5" s="41">
        <f t="shared" ref="Z5:Z67" si="7">Z$4</f>
        <v>0</v>
      </c>
      <c r="AA5" s="18"/>
      <c r="AB5" s="17"/>
      <c r="AC5" s="41">
        <f t="shared" ref="AC5:AC67" si="8">AC$4</f>
        <v>0</v>
      </c>
      <c r="AD5" s="18"/>
      <c r="AE5" s="17"/>
      <c r="AF5" s="41">
        <f t="shared" ref="AF5:AF67" si="9">AF$4</f>
        <v>0</v>
      </c>
      <c r="AG5" s="18"/>
      <c r="AH5" s="17"/>
      <c r="AI5" s="41">
        <f t="shared" ref="AI5:AI67" si="10">AI$4</f>
        <v>0</v>
      </c>
      <c r="AJ5" s="18"/>
      <c r="AK5" s="17"/>
      <c r="AL5" s="41">
        <f t="shared" ref="AL5:AL67" si="11">AL$4</f>
        <v>0</v>
      </c>
      <c r="AM5" s="54">
        <f>COUNTIF(C5:AL5,"si")</f>
        <v>0</v>
      </c>
      <c r="AN5" s="34"/>
      <c r="AP5" s="1" t="e">
        <f>VLOOKUP(A5,[1]BAJAS!$A$3:$D$45,3,FALSE)</f>
        <v>#N/A</v>
      </c>
    </row>
    <row r="6" spans="1:42" ht="16.5" customHeight="1">
      <c r="A6" s="47">
        <v>12631</v>
      </c>
      <c r="B6" s="35" t="s">
        <v>12</v>
      </c>
      <c r="C6" s="18"/>
      <c r="D6" s="17"/>
      <c r="E6" s="41">
        <f t="shared" si="0"/>
        <v>0</v>
      </c>
      <c r="F6" s="18"/>
      <c r="G6" s="17"/>
      <c r="H6" s="41">
        <f t="shared" si="1"/>
        <v>0</v>
      </c>
      <c r="I6" s="18"/>
      <c r="J6" s="17"/>
      <c r="K6" s="41">
        <f t="shared" si="2"/>
        <v>0</v>
      </c>
      <c r="L6" s="18"/>
      <c r="M6" s="17"/>
      <c r="N6" s="41">
        <f t="shared" si="3"/>
        <v>0</v>
      </c>
      <c r="O6" s="18"/>
      <c r="P6" s="17"/>
      <c r="Q6" s="41">
        <f t="shared" si="4"/>
        <v>0</v>
      </c>
      <c r="R6" s="18"/>
      <c r="S6" s="17"/>
      <c r="T6" s="41">
        <f t="shared" si="5"/>
        <v>0</v>
      </c>
      <c r="U6" s="32"/>
      <c r="V6" s="17"/>
      <c r="W6" s="41">
        <f t="shared" si="6"/>
        <v>0</v>
      </c>
      <c r="X6" s="18"/>
      <c r="Y6" s="17"/>
      <c r="Z6" s="41">
        <f t="shared" si="7"/>
        <v>0</v>
      </c>
      <c r="AA6" s="18"/>
      <c r="AB6" s="17"/>
      <c r="AC6" s="41">
        <f t="shared" si="8"/>
        <v>0</v>
      </c>
      <c r="AD6" s="18"/>
      <c r="AE6" s="17"/>
      <c r="AF6" s="41">
        <f t="shared" si="9"/>
        <v>0</v>
      </c>
      <c r="AG6" s="18"/>
      <c r="AH6" s="17"/>
      <c r="AI6" s="41">
        <f t="shared" si="10"/>
        <v>0</v>
      </c>
      <c r="AJ6" s="18"/>
      <c r="AK6" s="17"/>
      <c r="AL6" s="41">
        <f t="shared" si="11"/>
        <v>0</v>
      </c>
      <c r="AM6" s="54">
        <f>COUNTIF(C6:AL6,"si")</f>
        <v>0</v>
      </c>
      <c r="AN6" s="34"/>
      <c r="AP6" s="1" t="e">
        <f>VLOOKUP(A6,[1]BAJAS!$A$3:$D$45,3,FALSE)</f>
        <v>#N/A</v>
      </c>
    </row>
    <row r="7" spans="1:42" ht="16.5" customHeight="1">
      <c r="A7" s="42">
        <v>12793</v>
      </c>
      <c r="B7" s="35" t="s">
        <v>13</v>
      </c>
      <c r="C7" s="18"/>
      <c r="D7" s="17"/>
      <c r="E7" s="41">
        <f t="shared" si="0"/>
        <v>0</v>
      </c>
      <c r="F7" s="18"/>
      <c r="G7" s="17"/>
      <c r="H7" s="41">
        <f t="shared" si="1"/>
        <v>0</v>
      </c>
      <c r="I7" s="18"/>
      <c r="J7" s="17"/>
      <c r="K7" s="41">
        <f t="shared" si="2"/>
        <v>0</v>
      </c>
      <c r="L7" s="18"/>
      <c r="M7" s="17"/>
      <c r="N7" s="41">
        <f t="shared" si="3"/>
        <v>0</v>
      </c>
      <c r="O7" s="18"/>
      <c r="P7" s="17"/>
      <c r="Q7" s="41">
        <f t="shared" si="4"/>
        <v>0</v>
      </c>
      <c r="R7" s="18"/>
      <c r="S7" s="17"/>
      <c r="T7" s="41">
        <f t="shared" si="5"/>
        <v>0</v>
      </c>
      <c r="U7" s="32"/>
      <c r="V7" s="17"/>
      <c r="W7" s="41">
        <f t="shared" si="6"/>
        <v>0</v>
      </c>
      <c r="X7" s="18"/>
      <c r="Y7" s="17"/>
      <c r="Z7" s="41">
        <f t="shared" si="7"/>
        <v>0</v>
      </c>
      <c r="AA7" s="18"/>
      <c r="AB7" s="17"/>
      <c r="AC7" s="41">
        <f t="shared" si="8"/>
        <v>0</v>
      </c>
      <c r="AD7" s="18"/>
      <c r="AE7" s="17"/>
      <c r="AF7" s="41">
        <f t="shared" si="9"/>
        <v>0</v>
      </c>
      <c r="AG7" s="18"/>
      <c r="AH7" s="17"/>
      <c r="AI7" s="41">
        <f t="shared" si="10"/>
        <v>0</v>
      </c>
      <c r="AJ7" s="18"/>
      <c r="AK7" s="17"/>
      <c r="AL7" s="41">
        <f t="shared" si="11"/>
        <v>0</v>
      </c>
      <c r="AM7" s="54">
        <f t="shared" ref="AM7:AM36" si="12">COUNTIF(C7:AL7,"si")</f>
        <v>0</v>
      </c>
      <c r="AN7" s="34"/>
      <c r="AP7" s="1" t="e">
        <f>VLOOKUP(A7,[1]BAJAS!$A$3:$D$45,3,FALSE)</f>
        <v>#N/A</v>
      </c>
    </row>
    <row r="8" spans="1:42" ht="16.5" customHeight="1">
      <c r="A8" s="37">
        <v>11580</v>
      </c>
      <c r="B8" s="35" t="s">
        <v>14</v>
      </c>
      <c r="C8" s="18"/>
      <c r="D8" s="17"/>
      <c r="E8" s="41">
        <f t="shared" si="0"/>
        <v>0</v>
      </c>
      <c r="F8" s="18"/>
      <c r="G8" s="17"/>
      <c r="H8" s="41">
        <f t="shared" si="1"/>
        <v>0</v>
      </c>
      <c r="I8" s="18"/>
      <c r="J8" s="17"/>
      <c r="K8" s="41">
        <f t="shared" si="2"/>
        <v>0</v>
      </c>
      <c r="L8" s="18"/>
      <c r="M8" s="17"/>
      <c r="N8" s="41">
        <f t="shared" si="3"/>
        <v>0</v>
      </c>
      <c r="O8" s="18"/>
      <c r="P8" s="17"/>
      <c r="Q8" s="41">
        <f t="shared" si="4"/>
        <v>0</v>
      </c>
      <c r="R8" s="18"/>
      <c r="S8" s="17"/>
      <c r="T8" s="41">
        <f t="shared" si="5"/>
        <v>0</v>
      </c>
      <c r="U8" s="32"/>
      <c r="V8" s="17"/>
      <c r="W8" s="41">
        <f t="shared" si="6"/>
        <v>0</v>
      </c>
      <c r="X8" s="18"/>
      <c r="Y8" s="17"/>
      <c r="Z8" s="41">
        <f t="shared" si="7"/>
        <v>0</v>
      </c>
      <c r="AA8" s="18"/>
      <c r="AB8" s="17"/>
      <c r="AC8" s="41">
        <f t="shared" si="8"/>
        <v>0</v>
      </c>
      <c r="AD8" s="18"/>
      <c r="AE8" s="17"/>
      <c r="AF8" s="41">
        <f t="shared" si="9"/>
        <v>0</v>
      </c>
      <c r="AG8" s="18"/>
      <c r="AH8" s="17"/>
      <c r="AI8" s="41">
        <f t="shared" si="10"/>
        <v>0</v>
      </c>
      <c r="AJ8" s="18"/>
      <c r="AK8" s="17"/>
      <c r="AL8" s="41">
        <f t="shared" si="11"/>
        <v>0</v>
      </c>
      <c r="AM8" s="54">
        <f t="shared" si="12"/>
        <v>0</v>
      </c>
      <c r="AN8" s="34"/>
      <c r="AP8" s="1" t="e">
        <f>VLOOKUP(A8,[1]BAJAS!$A$3:$D$45,3,FALSE)</f>
        <v>#N/A</v>
      </c>
    </row>
    <row r="9" spans="1:42" ht="16.5" customHeight="1">
      <c r="A9" s="47">
        <v>12642</v>
      </c>
      <c r="B9" s="35" t="s">
        <v>15</v>
      </c>
      <c r="C9" s="18"/>
      <c r="D9" s="17"/>
      <c r="E9" s="41">
        <f t="shared" si="0"/>
        <v>0</v>
      </c>
      <c r="F9" s="18"/>
      <c r="G9" s="17"/>
      <c r="H9" s="41">
        <f t="shared" si="1"/>
        <v>0</v>
      </c>
      <c r="I9" s="18"/>
      <c r="J9" s="17"/>
      <c r="K9" s="41">
        <f t="shared" si="2"/>
        <v>0</v>
      </c>
      <c r="L9" s="18"/>
      <c r="M9" s="17"/>
      <c r="N9" s="41">
        <f t="shared" si="3"/>
        <v>0</v>
      </c>
      <c r="O9" s="18"/>
      <c r="P9" s="17"/>
      <c r="Q9" s="41">
        <f t="shared" si="4"/>
        <v>0</v>
      </c>
      <c r="R9" s="18"/>
      <c r="S9" s="17"/>
      <c r="T9" s="41">
        <f t="shared" si="5"/>
        <v>0</v>
      </c>
      <c r="U9" s="32"/>
      <c r="V9" s="17"/>
      <c r="W9" s="41">
        <f t="shared" si="6"/>
        <v>0</v>
      </c>
      <c r="X9" s="18"/>
      <c r="Y9" s="17"/>
      <c r="Z9" s="41">
        <f t="shared" si="7"/>
        <v>0</v>
      </c>
      <c r="AA9" s="18"/>
      <c r="AB9" s="17"/>
      <c r="AC9" s="41">
        <f t="shared" si="8"/>
        <v>0</v>
      </c>
      <c r="AD9" s="18"/>
      <c r="AE9" s="17"/>
      <c r="AF9" s="41">
        <f t="shared" si="9"/>
        <v>0</v>
      </c>
      <c r="AG9" s="18"/>
      <c r="AH9" s="17"/>
      <c r="AI9" s="41">
        <f t="shared" si="10"/>
        <v>0</v>
      </c>
      <c r="AJ9" s="18"/>
      <c r="AK9" s="17"/>
      <c r="AL9" s="41">
        <f t="shared" si="11"/>
        <v>0</v>
      </c>
      <c r="AM9" s="54">
        <f t="shared" si="12"/>
        <v>0</v>
      </c>
      <c r="AN9" s="34"/>
      <c r="AP9" s="1" t="e">
        <f>VLOOKUP(A9,[1]BAJAS!$A$3:$D$45,3,FALSE)</f>
        <v>#N/A</v>
      </c>
    </row>
    <row r="10" spans="1:42" ht="16.5" customHeight="1">
      <c r="A10" s="37">
        <v>12142</v>
      </c>
      <c r="B10" s="35" t="s">
        <v>16</v>
      </c>
      <c r="C10" s="18"/>
      <c r="D10" s="17"/>
      <c r="E10" s="41">
        <f t="shared" si="0"/>
        <v>0</v>
      </c>
      <c r="F10" s="18"/>
      <c r="G10" s="17"/>
      <c r="H10" s="41">
        <f t="shared" si="1"/>
        <v>0</v>
      </c>
      <c r="I10" s="18"/>
      <c r="J10" s="17"/>
      <c r="K10" s="41">
        <f t="shared" si="2"/>
        <v>0</v>
      </c>
      <c r="L10" s="18"/>
      <c r="M10" s="17"/>
      <c r="N10" s="41">
        <f t="shared" si="3"/>
        <v>0</v>
      </c>
      <c r="O10" s="18"/>
      <c r="P10" s="17"/>
      <c r="Q10" s="41">
        <f t="shared" si="4"/>
        <v>0</v>
      </c>
      <c r="R10" s="18"/>
      <c r="S10" s="17"/>
      <c r="T10" s="41">
        <f t="shared" si="5"/>
        <v>0</v>
      </c>
      <c r="U10" s="32"/>
      <c r="V10" s="17"/>
      <c r="W10" s="41">
        <f t="shared" si="6"/>
        <v>0</v>
      </c>
      <c r="X10" s="18"/>
      <c r="Y10" s="17"/>
      <c r="Z10" s="41">
        <f t="shared" si="7"/>
        <v>0</v>
      </c>
      <c r="AA10" s="18"/>
      <c r="AB10" s="17"/>
      <c r="AC10" s="41">
        <f t="shared" si="8"/>
        <v>0</v>
      </c>
      <c r="AD10" s="18"/>
      <c r="AE10" s="17"/>
      <c r="AF10" s="41">
        <f t="shared" si="9"/>
        <v>0</v>
      </c>
      <c r="AG10" s="18"/>
      <c r="AH10" s="17"/>
      <c r="AI10" s="41">
        <f t="shared" si="10"/>
        <v>0</v>
      </c>
      <c r="AJ10" s="18"/>
      <c r="AK10" s="17"/>
      <c r="AL10" s="41">
        <f t="shared" si="11"/>
        <v>0</v>
      </c>
      <c r="AM10" s="54">
        <f t="shared" si="12"/>
        <v>0</v>
      </c>
      <c r="AN10" s="34"/>
      <c r="AP10" s="1" t="e">
        <f>VLOOKUP(A10,[1]BAJAS!$A$3:$D$45,3,FALSE)</f>
        <v>#N/A</v>
      </c>
    </row>
    <row r="11" spans="1:42" ht="16.5" customHeight="1">
      <c r="A11" s="47">
        <v>12641</v>
      </c>
      <c r="B11" s="35" t="s">
        <v>17</v>
      </c>
      <c r="C11" s="18"/>
      <c r="D11" s="17"/>
      <c r="E11" s="41">
        <f t="shared" si="0"/>
        <v>0</v>
      </c>
      <c r="F11" s="18"/>
      <c r="G11" s="17"/>
      <c r="H11" s="41">
        <f t="shared" si="1"/>
        <v>0</v>
      </c>
      <c r="I11" s="18"/>
      <c r="J11" s="17"/>
      <c r="K11" s="41">
        <f t="shared" si="2"/>
        <v>0</v>
      </c>
      <c r="L11" s="18"/>
      <c r="M11" s="17"/>
      <c r="N11" s="41">
        <f t="shared" si="3"/>
        <v>0</v>
      </c>
      <c r="O11" s="18"/>
      <c r="P11" s="17"/>
      <c r="Q11" s="41">
        <f t="shared" si="4"/>
        <v>0</v>
      </c>
      <c r="R11" s="18"/>
      <c r="S11" s="17"/>
      <c r="T11" s="41">
        <f t="shared" si="5"/>
        <v>0</v>
      </c>
      <c r="U11" s="32"/>
      <c r="V11" s="17"/>
      <c r="W11" s="41">
        <f t="shared" si="6"/>
        <v>0</v>
      </c>
      <c r="X11" s="18"/>
      <c r="Y11" s="17"/>
      <c r="Z11" s="41">
        <f t="shared" si="7"/>
        <v>0</v>
      </c>
      <c r="AA11" s="18"/>
      <c r="AB11" s="17"/>
      <c r="AC11" s="41">
        <f t="shared" si="8"/>
        <v>0</v>
      </c>
      <c r="AD11" s="18"/>
      <c r="AE11" s="17"/>
      <c r="AF11" s="41">
        <f t="shared" si="9"/>
        <v>0</v>
      </c>
      <c r="AG11" s="18"/>
      <c r="AH11" s="17"/>
      <c r="AI11" s="41">
        <f t="shared" si="10"/>
        <v>0</v>
      </c>
      <c r="AJ11" s="18"/>
      <c r="AK11" s="17"/>
      <c r="AL11" s="41">
        <f t="shared" si="11"/>
        <v>0</v>
      </c>
      <c r="AM11" s="54">
        <f t="shared" si="12"/>
        <v>0</v>
      </c>
      <c r="AN11" s="34"/>
      <c r="AP11" s="1" t="e">
        <f>VLOOKUP(A11,[1]BAJAS!$A$3:$D$45,3,FALSE)</f>
        <v>#N/A</v>
      </c>
    </row>
    <row r="12" spans="1:42" ht="16.5" customHeight="1">
      <c r="A12" s="42">
        <v>12792</v>
      </c>
      <c r="B12" s="35" t="s">
        <v>18</v>
      </c>
      <c r="C12" s="18"/>
      <c r="D12" s="17"/>
      <c r="E12" s="41">
        <f t="shared" si="0"/>
        <v>0</v>
      </c>
      <c r="F12" s="18"/>
      <c r="G12" s="17"/>
      <c r="H12" s="41">
        <f t="shared" si="1"/>
        <v>0</v>
      </c>
      <c r="I12" s="18"/>
      <c r="J12" s="17"/>
      <c r="K12" s="41">
        <f t="shared" si="2"/>
        <v>0</v>
      </c>
      <c r="L12" s="18"/>
      <c r="M12" s="17"/>
      <c r="N12" s="41">
        <f t="shared" si="3"/>
        <v>0</v>
      </c>
      <c r="O12" s="18"/>
      <c r="P12" s="17"/>
      <c r="Q12" s="41">
        <f t="shared" si="4"/>
        <v>0</v>
      </c>
      <c r="R12" s="18"/>
      <c r="S12" s="17"/>
      <c r="T12" s="41">
        <f t="shared" si="5"/>
        <v>0</v>
      </c>
      <c r="U12" s="32"/>
      <c r="V12" s="17"/>
      <c r="W12" s="41">
        <f t="shared" si="6"/>
        <v>0</v>
      </c>
      <c r="X12" s="18"/>
      <c r="Y12" s="17"/>
      <c r="Z12" s="41">
        <f t="shared" si="7"/>
        <v>0</v>
      </c>
      <c r="AA12" s="18"/>
      <c r="AB12" s="17"/>
      <c r="AC12" s="41">
        <f t="shared" si="8"/>
        <v>0</v>
      </c>
      <c r="AD12" s="18"/>
      <c r="AE12" s="17"/>
      <c r="AF12" s="41">
        <f t="shared" si="9"/>
        <v>0</v>
      </c>
      <c r="AG12" s="18"/>
      <c r="AH12" s="17"/>
      <c r="AI12" s="41">
        <f t="shared" si="10"/>
        <v>0</v>
      </c>
      <c r="AJ12" s="18"/>
      <c r="AK12" s="17"/>
      <c r="AL12" s="41">
        <f t="shared" si="11"/>
        <v>0</v>
      </c>
      <c r="AM12" s="54">
        <f t="shared" si="12"/>
        <v>0</v>
      </c>
      <c r="AN12" s="34"/>
      <c r="AP12" s="1" t="e">
        <f>VLOOKUP(A12,[1]BAJAS!$A$3:$D$45,3,FALSE)</f>
        <v>#N/A</v>
      </c>
    </row>
    <row r="13" spans="1:42" ht="16.5" customHeight="1">
      <c r="A13" s="37">
        <v>11549</v>
      </c>
      <c r="B13" s="35" t="s">
        <v>19</v>
      </c>
      <c r="C13" s="18"/>
      <c r="D13" s="17"/>
      <c r="E13" s="41">
        <f t="shared" si="0"/>
        <v>0</v>
      </c>
      <c r="F13" s="18"/>
      <c r="G13" s="17"/>
      <c r="H13" s="41">
        <f t="shared" si="1"/>
        <v>0</v>
      </c>
      <c r="I13" s="18"/>
      <c r="J13" s="17"/>
      <c r="K13" s="41">
        <f t="shared" si="2"/>
        <v>0</v>
      </c>
      <c r="L13" s="18"/>
      <c r="M13" s="17"/>
      <c r="N13" s="41">
        <f t="shared" si="3"/>
        <v>0</v>
      </c>
      <c r="O13" s="18"/>
      <c r="P13" s="17"/>
      <c r="Q13" s="41">
        <f t="shared" si="4"/>
        <v>0</v>
      </c>
      <c r="R13" s="18"/>
      <c r="S13" s="17"/>
      <c r="T13" s="41">
        <f t="shared" si="5"/>
        <v>0</v>
      </c>
      <c r="U13" s="32"/>
      <c r="V13" s="17"/>
      <c r="W13" s="41">
        <f t="shared" si="6"/>
        <v>0</v>
      </c>
      <c r="X13" s="18"/>
      <c r="Y13" s="17"/>
      <c r="Z13" s="41">
        <f t="shared" si="7"/>
        <v>0</v>
      </c>
      <c r="AA13" s="18"/>
      <c r="AB13" s="17"/>
      <c r="AC13" s="41">
        <f t="shared" si="8"/>
        <v>0</v>
      </c>
      <c r="AD13" s="18"/>
      <c r="AE13" s="17"/>
      <c r="AF13" s="41">
        <f t="shared" si="9"/>
        <v>0</v>
      </c>
      <c r="AG13" s="18"/>
      <c r="AH13" s="17"/>
      <c r="AI13" s="41">
        <f t="shared" si="10"/>
        <v>0</v>
      </c>
      <c r="AJ13" s="18"/>
      <c r="AK13" s="17"/>
      <c r="AL13" s="41">
        <f t="shared" si="11"/>
        <v>0</v>
      </c>
      <c r="AM13" s="54">
        <f t="shared" si="12"/>
        <v>0</v>
      </c>
      <c r="AN13" s="34"/>
      <c r="AP13" s="1" t="e">
        <f>VLOOKUP(A13,[1]BAJAS!$A$3:$D$45,3,FALSE)</f>
        <v>#N/A</v>
      </c>
    </row>
    <row r="14" spans="1:42" ht="16.5" customHeight="1">
      <c r="A14" s="37">
        <v>11852</v>
      </c>
      <c r="B14" s="35" t="s">
        <v>20</v>
      </c>
      <c r="C14" s="18"/>
      <c r="D14" s="17"/>
      <c r="E14" s="41">
        <f t="shared" si="0"/>
        <v>0</v>
      </c>
      <c r="F14" s="18"/>
      <c r="G14" s="17"/>
      <c r="H14" s="41">
        <f t="shared" si="1"/>
        <v>0</v>
      </c>
      <c r="I14" s="18"/>
      <c r="J14" s="17"/>
      <c r="K14" s="41">
        <f t="shared" si="2"/>
        <v>0</v>
      </c>
      <c r="L14" s="18"/>
      <c r="M14" s="17"/>
      <c r="N14" s="41">
        <f t="shared" si="3"/>
        <v>0</v>
      </c>
      <c r="O14" s="18"/>
      <c r="P14" s="17"/>
      <c r="Q14" s="41">
        <f t="shared" si="4"/>
        <v>0</v>
      </c>
      <c r="R14" s="18"/>
      <c r="S14" s="17"/>
      <c r="T14" s="41">
        <f t="shared" si="5"/>
        <v>0</v>
      </c>
      <c r="U14" s="32"/>
      <c r="V14" s="17"/>
      <c r="W14" s="41">
        <f t="shared" si="6"/>
        <v>0</v>
      </c>
      <c r="X14" s="18"/>
      <c r="Y14" s="17"/>
      <c r="Z14" s="41">
        <f t="shared" si="7"/>
        <v>0</v>
      </c>
      <c r="AA14" s="18"/>
      <c r="AB14" s="17"/>
      <c r="AC14" s="41">
        <f t="shared" si="8"/>
        <v>0</v>
      </c>
      <c r="AD14" s="18"/>
      <c r="AE14" s="17"/>
      <c r="AF14" s="41">
        <f t="shared" si="9"/>
        <v>0</v>
      </c>
      <c r="AG14" s="18"/>
      <c r="AH14" s="17"/>
      <c r="AI14" s="41">
        <f t="shared" si="10"/>
        <v>0</v>
      </c>
      <c r="AJ14" s="18"/>
      <c r="AK14" s="17"/>
      <c r="AL14" s="41">
        <f t="shared" si="11"/>
        <v>0</v>
      </c>
      <c r="AM14" s="54">
        <f t="shared" si="12"/>
        <v>0</v>
      </c>
      <c r="AN14" s="34"/>
      <c r="AP14" s="1" t="e">
        <f>VLOOKUP(A14,[1]BAJAS!$A$3:$D$45,3,FALSE)</f>
        <v>#N/A</v>
      </c>
    </row>
    <row r="15" spans="1:42" ht="16.5" customHeight="1">
      <c r="A15" s="47">
        <v>12635</v>
      </c>
      <c r="B15" s="35" t="s">
        <v>21</v>
      </c>
      <c r="C15" s="18"/>
      <c r="D15" s="17"/>
      <c r="E15" s="41">
        <f t="shared" si="0"/>
        <v>0</v>
      </c>
      <c r="F15" s="18"/>
      <c r="G15" s="17"/>
      <c r="H15" s="41">
        <f t="shared" si="1"/>
        <v>0</v>
      </c>
      <c r="I15" s="18"/>
      <c r="J15" s="17"/>
      <c r="K15" s="41">
        <f t="shared" si="2"/>
        <v>0</v>
      </c>
      <c r="L15" s="18"/>
      <c r="M15" s="17"/>
      <c r="N15" s="41">
        <f t="shared" si="3"/>
        <v>0</v>
      </c>
      <c r="O15" s="18"/>
      <c r="P15" s="17"/>
      <c r="Q15" s="41">
        <f t="shared" si="4"/>
        <v>0</v>
      </c>
      <c r="R15" s="18"/>
      <c r="S15" s="17"/>
      <c r="T15" s="41">
        <f t="shared" si="5"/>
        <v>0</v>
      </c>
      <c r="U15" s="32"/>
      <c r="V15" s="17"/>
      <c r="W15" s="41">
        <f t="shared" si="6"/>
        <v>0</v>
      </c>
      <c r="X15" s="18"/>
      <c r="Y15" s="17"/>
      <c r="Z15" s="41">
        <f t="shared" si="7"/>
        <v>0</v>
      </c>
      <c r="AA15" s="18"/>
      <c r="AB15" s="17"/>
      <c r="AC15" s="41">
        <f t="shared" si="8"/>
        <v>0</v>
      </c>
      <c r="AD15" s="18"/>
      <c r="AE15" s="17"/>
      <c r="AF15" s="41">
        <f t="shared" si="9"/>
        <v>0</v>
      </c>
      <c r="AG15" s="18"/>
      <c r="AH15" s="17"/>
      <c r="AI15" s="41">
        <f t="shared" si="10"/>
        <v>0</v>
      </c>
      <c r="AJ15" s="18"/>
      <c r="AK15" s="17"/>
      <c r="AL15" s="41">
        <f t="shared" si="11"/>
        <v>0</v>
      </c>
      <c r="AM15" s="54">
        <f t="shared" si="12"/>
        <v>0</v>
      </c>
      <c r="AN15" s="34"/>
      <c r="AP15" s="1" t="e">
        <f>VLOOKUP(A15,[1]BAJAS!$A$3:$D$45,3,FALSE)</f>
        <v>#N/A</v>
      </c>
    </row>
    <row r="16" spans="1:42" ht="16.5" customHeight="1">
      <c r="A16" s="37">
        <v>5243</v>
      </c>
      <c r="B16" s="35" t="s">
        <v>22</v>
      </c>
      <c r="C16" s="18"/>
      <c r="D16" s="17"/>
      <c r="E16" s="41">
        <f t="shared" si="0"/>
        <v>0</v>
      </c>
      <c r="F16" s="18"/>
      <c r="G16" s="17"/>
      <c r="H16" s="41">
        <f t="shared" si="1"/>
        <v>0</v>
      </c>
      <c r="I16" s="18"/>
      <c r="J16" s="17"/>
      <c r="K16" s="41">
        <f t="shared" si="2"/>
        <v>0</v>
      </c>
      <c r="L16" s="18"/>
      <c r="M16" s="17"/>
      <c r="N16" s="41">
        <f t="shared" si="3"/>
        <v>0</v>
      </c>
      <c r="O16" s="18"/>
      <c r="P16" s="17"/>
      <c r="Q16" s="41">
        <f t="shared" si="4"/>
        <v>0</v>
      </c>
      <c r="R16" s="18"/>
      <c r="S16" s="17"/>
      <c r="T16" s="41">
        <f t="shared" si="5"/>
        <v>0</v>
      </c>
      <c r="U16" s="32"/>
      <c r="V16" s="17"/>
      <c r="W16" s="41">
        <f t="shared" si="6"/>
        <v>0</v>
      </c>
      <c r="X16" s="18"/>
      <c r="Y16" s="17"/>
      <c r="Z16" s="41">
        <f t="shared" si="7"/>
        <v>0</v>
      </c>
      <c r="AA16" s="18"/>
      <c r="AB16" s="17"/>
      <c r="AC16" s="41">
        <f t="shared" si="8"/>
        <v>0</v>
      </c>
      <c r="AD16" s="18"/>
      <c r="AE16" s="17"/>
      <c r="AF16" s="41">
        <f t="shared" si="9"/>
        <v>0</v>
      </c>
      <c r="AG16" s="18"/>
      <c r="AH16" s="17"/>
      <c r="AI16" s="41">
        <f t="shared" si="10"/>
        <v>0</v>
      </c>
      <c r="AJ16" s="18"/>
      <c r="AK16" s="17"/>
      <c r="AL16" s="41">
        <f t="shared" si="11"/>
        <v>0</v>
      </c>
      <c r="AM16" s="54">
        <f t="shared" si="12"/>
        <v>0</v>
      </c>
      <c r="AN16" s="34"/>
      <c r="AP16" s="1" t="e">
        <f>VLOOKUP(A16,[1]BAJAS!$A$3:$D$45,3,FALSE)</f>
        <v>#N/A</v>
      </c>
    </row>
    <row r="17" spans="1:42" ht="16.5" customHeight="1">
      <c r="A17" s="37">
        <v>7395</v>
      </c>
      <c r="B17" s="35" t="s">
        <v>23</v>
      </c>
      <c r="C17" s="18"/>
      <c r="D17" s="17"/>
      <c r="E17" s="41">
        <f t="shared" si="0"/>
        <v>0</v>
      </c>
      <c r="F17" s="18"/>
      <c r="G17" s="17"/>
      <c r="H17" s="41">
        <f t="shared" si="1"/>
        <v>0</v>
      </c>
      <c r="I17" s="18"/>
      <c r="J17" s="17"/>
      <c r="K17" s="41">
        <f t="shared" si="2"/>
        <v>0</v>
      </c>
      <c r="L17" s="18"/>
      <c r="M17" s="17"/>
      <c r="N17" s="41">
        <f t="shared" si="3"/>
        <v>0</v>
      </c>
      <c r="O17" s="18"/>
      <c r="P17" s="17"/>
      <c r="Q17" s="41">
        <f t="shared" si="4"/>
        <v>0</v>
      </c>
      <c r="R17" s="18"/>
      <c r="S17" s="17"/>
      <c r="T17" s="41">
        <f t="shared" si="5"/>
        <v>0</v>
      </c>
      <c r="U17" s="32"/>
      <c r="V17" s="17"/>
      <c r="W17" s="41">
        <f t="shared" si="6"/>
        <v>0</v>
      </c>
      <c r="X17" s="18"/>
      <c r="Y17" s="17"/>
      <c r="Z17" s="41">
        <f t="shared" si="7"/>
        <v>0</v>
      </c>
      <c r="AA17" s="18"/>
      <c r="AB17" s="17"/>
      <c r="AC17" s="41">
        <f t="shared" si="8"/>
        <v>0</v>
      </c>
      <c r="AD17" s="18"/>
      <c r="AE17" s="17"/>
      <c r="AF17" s="41">
        <f t="shared" si="9"/>
        <v>0</v>
      </c>
      <c r="AG17" s="18"/>
      <c r="AH17" s="17"/>
      <c r="AI17" s="41">
        <f t="shared" si="10"/>
        <v>0</v>
      </c>
      <c r="AJ17" s="18"/>
      <c r="AK17" s="17"/>
      <c r="AL17" s="41">
        <f t="shared" si="11"/>
        <v>0</v>
      </c>
      <c r="AM17" s="54">
        <f t="shared" si="12"/>
        <v>0</v>
      </c>
      <c r="AN17" s="34"/>
      <c r="AP17" s="1" t="e">
        <f>VLOOKUP(A17,[1]BAJAS!$A$3:$D$45,3,FALSE)</f>
        <v>#N/A</v>
      </c>
    </row>
    <row r="18" spans="1:42" ht="16.5" customHeight="1">
      <c r="A18" s="42">
        <v>12784</v>
      </c>
      <c r="B18" s="35" t="s">
        <v>24</v>
      </c>
      <c r="C18" s="18"/>
      <c r="D18" s="17"/>
      <c r="E18" s="41">
        <f t="shared" si="0"/>
        <v>0</v>
      </c>
      <c r="F18" s="18"/>
      <c r="G18" s="17"/>
      <c r="H18" s="41">
        <f t="shared" si="1"/>
        <v>0</v>
      </c>
      <c r="I18" s="18"/>
      <c r="J18" s="17"/>
      <c r="K18" s="41">
        <f t="shared" si="2"/>
        <v>0</v>
      </c>
      <c r="L18" s="18"/>
      <c r="M18" s="17"/>
      <c r="N18" s="41">
        <f t="shared" si="3"/>
        <v>0</v>
      </c>
      <c r="O18" s="18"/>
      <c r="P18" s="17"/>
      <c r="Q18" s="41">
        <f t="shared" si="4"/>
        <v>0</v>
      </c>
      <c r="R18" s="18"/>
      <c r="S18" s="17"/>
      <c r="T18" s="41">
        <f t="shared" si="5"/>
        <v>0</v>
      </c>
      <c r="U18" s="32"/>
      <c r="V18" s="17"/>
      <c r="W18" s="41">
        <f t="shared" si="6"/>
        <v>0</v>
      </c>
      <c r="X18" s="18"/>
      <c r="Y18" s="17"/>
      <c r="Z18" s="41">
        <f t="shared" si="7"/>
        <v>0</v>
      </c>
      <c r="AA18" s="18"/>
      <c r="AB18" s="17"/>
      <c r="AC18" s="41">
        <f t="shared" si="8"/>
        <v>0</v>
      </c>
      <c r="AD18" s="18"/>
      <c r="AE18" s="17"/>
      <c r="AF18" s="41">
        <f t="shared" si="9"/>
        <v>0</v>
      </c>
      <c r="AG18" s="18"/>
      <c r="AH18" s="17"/>
      <c r="AI18" s="41">
        <f t="shared" si="10"/>
        <v>0</v>
      </c>
      <c r="AJ18" s="18"/>
      <c r="AK18" s="17"/>
      <c r="AL18" s="41">
        <f t="shared" si="11"/>
        <v>0</v>
      </c>
      <c r="AM18" s="54">
        <f t="shared" si="12"/>
        <v>0</v>
      </c>
      <c r="AN18" s="34"/>
      <c r="AP18" s="1" t="e">
        <f>VLOOKUP(A18,[1]BAJAS!$A$3:$D$45,3,FALSE)</f>
        <v>#N/A</v>
      </c>
    </row>
    <row r="19" spans="1:42" ht="16.5" customHeight="1">
      <c r="A19" s="37">
        <v>11578</v>
      </c>
      <c r="B19" s="35" t="s">
        <v>25</v>
      </c>
      <c r="C19" s="18"/>
      <c r="D19" s="17"/>
      <c r="E19" s="41">
        <f t="shared" si="0"/>
        <v>0</v>
      </c>
      <c r="F19" s="18"/>
      <c r="G19" s="17"/>
      <c r="H19" s="41">
        <f t="shared" si="1"/>
        <v>0</v>
      </c>
      <c r="I19" s="18"/>
      <c r="J19" s="17"/>
      <c r="K19" s="41">
        <f t="shared" si="2"/>
        <v>0</v>
      </c>
      <c r="L19" s="18"/>
      <c r="M19" s="17"/>
      <c r="N19" s="41">
        <f t="shared" si="3"/>
        <v>0</v>
      </c>
      <c r="O19" s="18"/>
      <c r="P19" s="17"/>
      <c r="Q19" s="41">
        <f t="shared" si="4"/>
        <v>0</v>
      </c>
      <c r="R19" s="18"/>
      <c r="S19" s="17"/>
      <c r="T19" s="41">
        <f t="shared" si="5"/>
        <v>0</v>
      </c>
      <c r="U19" s="32"/>
      <c r="V19" s="17"/>
      <c r="W19" s="41">
        <f t="shared" si="6"/>
        <v>0</v>
      </c>
      <c r="X19" s="18"/>
      <c r="Y19" s="17"/>
      <c r="Z19" s="41">
        <f t="shared" si="7"/>
        <v>0</v>
      </c>
      <c r="AA19" s="18"/>
      <c r="AB19" s="17"/>
      <c r="AC19" s="41">
        <f t="shared" si="8"/>
        <v>0</v>
      </c>
      <c r="AD19" s="18"/>
      <c r="AE19" s="17"/>
      <c r="AF19" s="41">
        <f t="shared" si="9"/>
        <v>0</v>
      </c>
      <c r="AG19" s="18"/>
      <c r="AH19" s="17"/>
      <c r="AI19" s="41">
        <f t="shared" si="10"/>
        <v>0</v>
      </c>
      <c r="AJ19" s="18"/>
      <c r="AK19" s="17"/>
      <c r="AL19" s="41">
        <f t="shared" si="11"/>
        <v>0</v>
      </c>
      <c r="AM19" s="54">
        <f t="shared" si="12"/>
        <v>0</v>
      </c>
      <c r="AN19" s="34"/>
      <c r="AP19" s="1" t="e">
        <f>VLOOKUP(A19,[1]BAJAS!$A$3:$D$45,3,FALSE)</f>
        <v>#N/A</v>
      </c>
    </row>
    <row r="20" spans="1:42" ht="16.5" customHeight="1">
      <c r="A20" s="42">
        <v>12785</v>
      </c>
      <c r="B20" s="35" t="s">
        <v>26</v>
      </c>
      <c r="C20" s="18"/>
      <c r="D20" s="17"/>
      <c r="E20" s="41">
        <f t="shared" si="0"/>
        <v>0</v>
      </c>
      <c r="F20" s="18"/>
      <c r="G20" s="17"/>
      <c r="H20" s="41">
        <f t="shared" si="1"/>
        <v>0</v>
      </c>
      <c r="I20" s="18"/>
      <c r="J20" s="17"/>
      <c r="K20" s="41">
        <f t="shared" si="2"/>
        <v>0</v>
      </c>
      <c r="L20" s="18"/>
      <c r="M20" s="17"/>
      <c r="N20" s="41">
        <f t="shared" si="3"/>
        <v>0</v>
      </c>
      <c r="O20" s="18"/>
      <c r="P20" s="17"/>
      <c r="Q20" s="41">
        <f t="shared" si="4"/>
        <v>0</v>
      </c>
      <c r="R20" s="18"/>
      <c r="S20" s="17"/>
      <c r="T20" s="41">
        <f t="shared" si="5"/>
        <v>0</v>
      </c>
      <c r="U20" s="32"/>
      <c r="V20" s="17"/>
      <c r="W20" s="41">
        <f t="shared" si="6"/>
        <v>0</v>
      </c>
      <c r="X20" s="18"/>
      <c r="Y20" s="17"/>
      <c r="Z20" s="41">
        <f t="shared" si="7"/>
        <v>0</v>
      </c>
      <c r="AA20" s="18"/>
      <c r="AB20" s="17"/>
      <c r="AC20" s="41">
        <f t="shared" si="8"/>
        <v>0</v>
      </c>
      <c r="AD20" s="18"/>
      <c r="AE20" s="17"/>
      <c r="AF20" s="41">
        <f t="shared" si="9"/>
        <v>0</v>
      </c>
      <c r="AG20" s="18"/>
      <c r="AH20" s="17"/>
      <c r="AI20" s="41">
        <f t="shared" si="10"/>
        <v>0</v>
      </c>
      <c r="AJ20" s="18"/>
      <c r="AK20" s="17"/>
      <c r="AL20" s="41">
        <f t="shared" si="11"/>
        <v>0</v>
      </c>
      <c r="AM20" s="54">
        <f t="shared" si="12"/>
        <v>0</v>
      </c>
      <c r="AN20" s="34"/>
      <c r="AP20" s="1" t="e">
        <f>VLOOKUP(A20,[1]BAJAS!$A$3:$D$45,3,FALSE)</f>
        <v>#N/A</v>
      </c>
    </row>
    <row r="21" spans="1:42" ht="16.5" customHeight="1">
      <c r="A21" s="47">
        <v>12644</v>
      </c>
      <c r="B21" s="35" t="s">
        <v>27</v>
      </c>
      <c r="C21" s="18"/>
      <c r="D21" s="17"/>
      <c r="E21" s="41">
        <f t="shared" si="0"/>
        <v>0</v>
      </c>
      <c r="F21" s="18"/>
      <c r="G21" s="17"/>
      <c r="H21" s="41">
        <f t="shared" si="1"/>
        <v>0</v>
      </c>
      <c r="I21" s="18"/>
      <c r="J21" s="17"/>
      <c r="K21" s="41">
        <f t="shared" si="2"/>
        <v>0</v>
      </c>
      <c r="L21" s="18"/>
      <c r="M21" s="17"/>
      <c r="N21" s="41">
        <f t="shared" si="3"/>
        <v>0</v>
      </c>
      <c r="O21" s="18"/>
      <c r="P21" s="17"/>
      <c r="Q21" s="41">
        <f t="shared" si="4"/>
        <v>0</v>
      </c>
      <c r="R21" s="18"/>
      <c r="S21" s="17"/>
      <c r="T21" s="41">
        <f t="shared" si="5"/>
        <v>0</v>
      </c>
      <c r="U21" s="32"/>
      <c r="V21" s="17"/>
      <c r="W21" s="41">
        <f t="shared" si="6"/>
        <v>0</v>
      </c>
      <c r="X21" s="18"/>
      <c r="Y21" s="17"/>
      <c r="Z21" s="41">
        <f t="shared" si="7"/>
        <v>0</v>
      </c>
      <c r="AA21" s="18"/>
      <c r="AB21" s="17"/>
      <c r="AC21" s="41">
        <f t="shared" si="8"/>
        <v>0</v>
      </c>
      <c r="AD21" s="18"/>
      <c r="AE21" s="17"/>
      <c r="AF21" s="41">
        <f t="shared" si="9"/>
        <v>0</v>
      </c>
      <c r="AG21" s="18"/>
      <c r="AH21" s="17"/>
      <c r="AI21" s="41">
        <f t="shared" si="10"/>
        <v>0</v>
      </c>
      <c r="AJ21" s="18"/>
      <c r="AK21" s="17"/>
      <c r="AL21" s="41">
        <f t="shared" si="11"/>
        <v>0</v>
      </c>
      <c r="AM21" s="54">
        <f t="shared" si="12"/>
        <v>0</v>
      </c>
      <c r="AN21" s="34"/>
      <c r="AP21" s="1" t="e">
        <f>VLOOKUP(A21,[1]BAJAS!$A$3:$D$45,3,FALSE)</f>
        <v>#N/A</v>
      </c>
    </row>
    <row r="22" spans="1:42" ht="16.5" customHeight="1">
      <c r="A22" s="37">
        <v>8823</v>
      </c>
      <c r="B22" s="35" t="s">
        <v>28</v>
      </c>
      <c r="C22" s="18"/>
      <c r="D22" s="17"/>
      <c r="E22" s="41">
        <f t="shared" si="0"/>
        <v>0</v>
      </c>
      <c r="F22" s="18"/>
      <c r="G22" s="17"/>
      <c r="H22" s="41">
        <f t="shared" si="1"/>
        <v>0</v>
      </c>
      <c r="I22" s="18"/>
      <c r="J22" s="17"/>
      <c r="K22" s="41">
        <f t="shared" si="2"/>
        <v>0</v>
      </c>
      <c r="L22" s="18"/>
      <c r="M22" s="17"/>
      <c r="N22" s="41">
        <f t="shared" si="3"/>
        <v>0</v>
      </c>
      <c r="O22" s="18"/>
      <c r="P22" s="17"/>
      <c r="Q22" s="41">
        <f t="shared" si="4"/>
        <v>0</v>
      </c>
      <c r="R22" s="18" t="s">
        <v>6</v>
      </c>
      <c r="S22" s="17">
        <v>1.0659722222222223</v>
      </c>
      <c r="T22" s="41">
        <f t="shared" si="5"/>
        <v>0</v>
      </c>
      <c r="U22" s="32"/>
      <c r="V22" s="17"/>
      <c r="W22" s="41">
        <f t="shared" si="6"/>
        <v>0</v>
      </c>
      <c r="X22" s="18"/>
      <c r="Y22" s="17"/>
      <c r="Z22" s="41">
        <f t="shared" si="7"/>
        <v>0</v>
      </c>
      <c r="AA22" s="18"/>
      <c r="AB22" s="17"/>
      <c r="AC22" s="41">
        <f t="shared" si="8"/>
        <v>0</v>
      </c>
      <c r="AD22" s="18"/>
      <c r="AE22" s="17"/>
      <c r="AF22" s="41">
        <f t="shared" si="9"/>
        <v>0</v>
      </c>
      <c r="AG22" s="18"/>
      <c r="AH22" s="17"/>
      <c r="AI22" s="41">
        <f t="shared" si="10"/>
        <v>0</v>
      </c>
      <c r="AJ22" s="18"/>
      <c r="AK22" s="17"/>
      <c r="AL22" s="41">
        <f t="shared" si="11"/>
        <v>0</v>
      </c>
      <c r="AM22" s="54">
        <f t="shared" ref="AM22:AM33" si="13">COUNTIF(C22:AL22,"si")</f>
        <v>1</v>
      </c>
      <c r="AN22" s="34"/>
      <c r="AP22" s="1" t="e">
        <f>VLOOKUP(A22,[1]BAJAS!$A$3:$D$45,3,FALSE)</f>
        <v>#N/A</v>
      </c>
    </row>
    <row r="23" spans="1:42" ht="16.5" customHeight="1">
      <c r="A23" s="43">
        <v>12526</v>
      </c>
      <c r="B23" s="35" t="s">
        <v>29</v>
      </c>
      <c r="C23" s="18"/>
      <c r="D23" s="17"/>
      <c r="E23" s="41">
        <f t="shared" si="0"/>
        <v>0</v>
      </c>
      <c r="F23" s="18"/>
      <c r="G23" s="17"/>
      <c r="H23" s="41">
        <f t="shared" si="1"/>
        <v>0</v>
      </c>
      <c r="I23" s="18"/>
      <c r="J23" s="17"/>
      <c r="K23" s="41">
        <f t="shared" si="2"/>
        <v>0</v>
      </c>
      <c r="L23" s="18"/>
      <c r="M23" s="17"/>
      <c r="N23" s="41">
        <f t="shared" si="3"/>
        <v>0</v>
      </c>
      <c r="O23" s="18"/>
      <c r="P23" s="17"/>
      <c r="Q23" s="41">
        <f t="shared" si="4"/>
        <v>0</v>
      </c>
      <c r="R23" s="18"/>
      <c r="S23" s="17"/>
      <c r="T23" s="41">
        <f t="shared" si="5"/>
        <v>0</v>
      </c>
      <c r="U23" s="32"/>
      <c r="V23" s="17"/>
      <c r="W23" s="41">
        <f t="shared" si="6"/>
        <v>0</v>
      </c>
      <c r="X23" s="18"/>
      <c r="Y23" s="17"/>
      <c r="Z23" s="41">
        <f t="shared" si="7"/>
        <v>0</v>
      </c>
      <c r="AA23" s="18"/>
      <c r="AB23" s="17"/>
      <c r="AC23" s="41">
        <f t="shared" si="8"/>
        <v>0</v>
      </c>
      <c r="AD23" s="18"/>
      <c r="AE23" s="17"/>
      <c r="AF23" s="41">
        <f t="shared" si="9"/>
        <v>0</v>
      </c>
      <c r="AG23" s="18"/>
      <c r="AH23" s="17"/>
      <c r="AI23" s="41">
        <f t="shared" si="10"/>
        <v>0</v>
      </c>
      <c r="AJ23" s="18"/>
      <c r="AK23" s="17"/>
      <c r="AL23" s="41">
        <f t="shared" si="11"/>
        <v>0</v>
      </c>
      <c r="AM23" s="54">
        <f t="shared" si="13"/>
        <v>0</v>
      </c>
      <c r="AN23" s="34"/>
      <c r="AP23" s="1" t="e">
        <f>VLOOKUP(A23,[1]BAJAS!$A$3:$D$45,3,FALSE)</f>
        <v>#N/A</v>
      </c>
    </row>
    <row r="24" spans="1:42" ht="16.5" customHeight="1">
      <c r="A24" s="42">
        <v>12786</v>
      </c>
      <c r="B24" s="35" t="s">
        <v>30</v>
      </c>
      <c r="C24" s="18"/>
      <c r="D24" s="17"/>
      <c r="E24" s="41">
        <f t="shared" si="0"/>
        <v>0</v>
      </c>
      <c r="F24" s="18"/>
      <c r="G24" s="17"/>
      <c r="H24" s="41">
        <f t="shared" si="1"/>
        <v>0</v>
      </c>
      <c r="I24" s="18"/>
      <c r="J24" s="17"/>
      <c r="K24" s="41">
        <f t="shared" si="2"/>
        <v>0</v>
      </c>
      <c r="L24" s="18"/>
      <c r="M24" s="17"/>
      <c r="N24" s="41">
        <f t="shared" si="3"/>
        <v>0</v>
      </c>
      <c r="O24" s="18"/>
      <c r="P24" s="17"/>
      <c r="Q24" s="41">
        <f t="shared" si="4"/>
        <v>0</v>
      </c>
      <c r="R24" s="18"/>
      <c r="S24" s="17"/>
      <c r="T24" s="41">
        <f t="shared" si="5"/>
        <v>0</v>
      </c>
      <c r="U24" s="32"/>
      <c r="V24" s="17"/>
      <c r="W24" s="41">
        <f t="shared" si="6"/>
        <v>0</v>
      </c>
      <c r="X24" s="18"/>
      <c r="Y24" s="17"/>
      <c r="Z24" s="41">
        <f t="shared" si="7"/>
        <v>0</v>
      </c>
      <c r="AA24" s="18"/>
      <c r="AB24" s="17"/>
      <c r="AC24" s="41">
        <f t="shared" si="8"/>
        <v>0</v>
      </c>
      <c r="AD24" s="18"/>
      <c r="AE24" s="17"/>
      <c r="AF24" s="41">
        <f t="shared" si="9"/>
        <v>0</v>
      </c>
      <c r="AG24" s="18"/>
      <c r="AH24" s="17"/>
      <c r="AI24" s="41">
        <f t="shared" si="10"/>
        <v>0</v>
      </c>
      <c r="AJ24" s="18"/>
      <c r="AK24" s="17"/>
      <c r="AL24" s="41">
        <f t="shared" si="11"/>
        <v>0</v>
      </c>
      <c r="AM24" s="54">
        <f t="shared" si="13"/>
        <v>0</v>
      </c>
      <c r="AN24" s="34"/>
      <c r="AP24" s="1" t="e">
        <f>VLOOKUP(A24,[1]BAJAS!$A$3:$D$45,3,FALSE)</f>
        <v>#N/A</v>
      </c>
    </row>
    <row r="25" spans="1:42" ht="16.5" customHeight="1">
      <c r="A25" s="47">
        <v>12643</v>
      </c>
      <c r="B25" s="35" t="s">
        <v>31</v>
      </c>
      <c r="C25" s="18"/>
      <c r="D25" s="17"/>
      <c r="E25" s="41">
        <f t="shared" si="0"/>
        <v>0</v>
      </c>
      <c r="F25" s="18"/>
      <c r="G25" s="17"/>
      <c r="H25" s="41">
        <f t="shared" si="1"/>
        <v>0</v>
      </c>
      <c r="I25" s="18"/>
      <c r="J25" s="17"/>
      <c r="K25" s="41">
        <f t="shared" si="2"/>
        <v>0</v>
      </c>
      <c r="L25" s="18"/>
      <c r="M25" s="17"/>
      <c r="N25" s="41">
        <f t="shared" si="3"/>
        <v>0</v>
      </c>
      <c r="O25" s="18"/>
      <c r="P25" s="17"/>
      <c r="Q25" s="41">
        <f t="shared" si="4"/>
        <v>0</v>
      </c>
      <c r="R25" s="18"/>
      <c r="S25" s="17"/>
      <c r="T25" s="41">
        <f t="shared" si="5"/>
        <v>0</v>
      </c>
      <c r="U25" s="32"/>
      <c r="V25" s="17"/>
      <c r="W25" s="41">
        <f t="shared" si="6"/>
        <v>0</v>
      </c>
      <c r="X25" s="18"/>
      <c r="Y25" s="17"/>
      <c r="Z25" s="41">
        <f t="shared" si="7"/>
        <v>0</v>
      </c>
      <c r="AA25" s="18"/>
      <c r="AB25" s="17"/>
      <c r="AC25" s="41">
        <f t="shared" si="8"/>
        <v>0</v>
      </c>
      <c r="AD25" s="18"/>
      <c r="AE25" s="17"/>
      <c r="AF25" s="41">
        <f t="shared" si="9"/>
        <v>0</v>
      </c>
      <c r="AG25" s="18"/>
      <c r="AH25" s="17"/>
      <c r="AI25" s="41">
        <f t="shared" si="10"/>
        <v>0</v>
      </c>
      <c r="AJ25" s="18"/>
      <c r="AK25" s="17"/>
      <c r="AL25" s="41">
        <f t="shared" si="11"/>
        <v>0</v>
      </c>
      <c r="AM25" s="54">
        <f t="shared" si="13"/>
        <v>0</v>
      </c>
      <c r="AN25" s="34"/>
      <c r="AP25" s="1" t="e">
        <f>VLOOKUP(A25,[1]BAJAS!$A$3:$D$45,3,FALSE)</f>
        <v>#N/A</v>
      </c>
    </row>
    <row r="26" spans="1:42" ht="16.5" customHeight="1">
      <c r="A26" s="37">
        <v>8011</v>
      </c>
      <c r="B26" s="35" t="s">
        <v>32</v>
      </c>
      <c r="C26" s="18"/>
      <c r="D26" s="17"/>
      <c r="E26" s="41">
        <f t="shared" si="0"/>
        <v>0</v>
      </c>
      <c r="F26" s="18"/>
      <c r="G26" s="17"/>
      <c r="H26" s="41">
        <f t="shared" si="1"/>
        <v>0</v>
      </c>
      <c r="I26" s="18"/>
      <c r="J26" s="17"/>
      <c r="K26" s="41">
        <f t="shared" si="2"/>
        <v>0</v>
      </c>
      <c r="L26" s="18"/>
      <c r="M26" s="17"/>
      <c r="N26" s="41">
        <f t="shared" si="3"/>
        <v>0</v>
      </c>
      <c r="O26" s="18"/>
      <c r="P26" s="17"/>
      <c r="Q26" s="41">
        <f t="shared" si="4"/>
        <v>0</v>
      </c>
      <c r="R26" s="18"/>
      <c r="S26" s="17"/>
      <c r="T26" s="41">
        <f t="shared" si="5"/>
        <v>0</v>
      </c>
      <c r="U26" s="32"/>
      <c r="V26" s="17"/>
      <c r="W26" s="41">
        <f t="shared" si="6"/>
        <v>0</v>
      </c>
      <c r="X26" s="18"/>
      <c r="Y26" s="17"/>
      <c r="Z26" s="41">
        <f t="shared" si="7"/>
        <v>0</v>
      </c>
      <c r="AA26" s="18"/>
      <c r="AB26" s="17"/>
      <c r="AC26" s="41">
        <f t="shared" si="8"/>
        <v>0</v>
      </c>
      <c r="AD26" s="18"/>
      <c r="AE26" s="17"/>
      <c r="AF26" s="41">
        <f t="shared" si="9"/>
        <v>0</v>
      </c>
      <c r="AG26" s="18"/>
      <c r="AH26" s="17"/>
      <c r="AI26" s="41">
        <f t="shared" si="10"/>
        <v>0</v>
      </c>
      <c r="AJ26" s="18"/>
      <c r="AK26" s="17"/>
      <c r="AL26" s="41">
        <f t="shared" si="11"/>
        <v>0</v>
      </c>
      <c r="AM26" s="54">
        <f t="shared" si="13"/>
        <v>0</v>
      </c>
      <c r="AN26" s="34"/>
      <c r="AP26" s="1" t="e">
        <f>VLOOKUP(A26,[1]BAJAS!$A$3:$D$45,3,FALSE)</f>
        <v>#N/A</v>
      </c>
    </row>
    <row r="27" spans="1:42" ht="16.5" customHeight="1">
      <c r="A27" s="37">
        <v>11134</v>
      </c>
      <c r="B27" s="35" t="s">
        <v>33</v>
      </c>
      <c r="C27" s="18"/>
      <c r="D27" s="17"/>
      <c r="E27" s="41">
        <f t="shared" si="0"/>
        <v>0</v>
      </c>
      <c r="F27" s="18"/>
      <c r="G27" s="17"/>
      <c r="H27" s="41">
        <f t="shared" si="1"/>
        <v>0</v>
      </c>
      <c r="I27" s="18"/>
      <c r="J27" s="17"/>
      <c r="K27" s="41">
        <f t="shared" si="2"/>
        <v>0</v>
      </c>
      <c r="L27" s="18"/>
      <c r="M27" s="17"/>
      <c r="N27" s="41">
        <f t="shared" si="3"/>
        <v>0</v>
      </c>
      <c r="O27" s="18"/>
      <c r="P27" s="17"/>
      <c r="Q27" s="41">
        <f t="shared" si="4"/>
        <v>0</v>
      </c>
      <c r="R27" s="18"/>
      <c r="S27" s="17"/>
      <c r="T27" s="41">
        <f t="shared" si="5"/>
        <v>0</v>
      </c>
      <c r="U27" s="32"/>
      <c r="V27" s="17"/>
      <c r="W27" s="41">
        <f t="shared" si="6"/>
        <v>0</v>
      </c>
      <c r="X27" s="18"/>
      <c r="Y27" s="17"/>
      <c r="Z27" s="41">
        <f t="shared" si="7"/>
        <v>0</v>
      </c>
      <c r="AA27" s="18"/>
      <c r="AB27" s="17"/>
      <c r="AC27" s="41">
        <f t="shared" si="8"/>
        <v>0</v>
      </c>
      <c r="AD27" s="18"/>
      <c r="AE27" s="17"/>
      <c r="AF27" s="41">
        <f t="shared" si="9"/>
        <v>0</v>
      </c>
      <c r="AG27" s="18"/>
      <c r="AH27" s="17"/>
      <c r="AI27" s="41">
        <f t="shared" si="10"/>
        <v>0</v>
      </c>
      <c r="AJ27" s="18"/>
      <c r="AK27" s="17"/>
      <c r="AL27" s="41">
        <f t="shared" si="11"/>
        <v>0</v>
      </c>
      <c r="AM27" s="54">
        <f t="shared" si="13"/>
        <v>0</v>
      </c>
      <c r="AN27" s="34"/>
      <c r="AP27" s="1" t="e">
        <f>VLOOKUP(A27,[1]BAJAS!$A$3:$D$45,3,FALSE)</f>
        <v>#N/A</v>
      </c>
    </row>
    <row r="28" spans="1:42" ht="16.5" customHeight="1">
      <c r="A28" s="47">
        <v>12638</v>
      </c>
      <c r="B28" s="35" t="s">
        <v>34</v>
      </c>
      <c r="C28" s="18"/>
      <c r="D28" s="17"/>
      <c r="E28" s="41">
        <f t="shared" si="0"/>
        <v>0</v>
      </c>
      <c r="F28" s="18"/>
      <c r="G28" s="17"/>
      <c r="H28" s="41">
        <f t="shared" si="1"/>
        <v>0</v>
      </c>
      <c r="I28" s="18"/>
      <c r="J28" s="17"/>
      <c r="K28" s="41">
        <f t="shared" si="2"/>
        <v>0</v>
      </c>
      <c r="L28" s="18"/>
      <c r="M28" s="17"/>
      <c r="N28" s="41">
        <f t="shared" si="3"/>
        <v>0</v>
      </c>
      <c r="O28" s="18"/>
      <c r="P28" s="17"/>
      <c r="Q28" s="41">
        <f t="shared" si="4"/>
        <v>0</v>
      </c>
      <c r="R28" s="18"/>
      <c r="S28" s="17"/>
      <c r="T28" s="41">
        <f t="shared" si="5"/>
        <v>0</v>
      </c>
      <c r="U28" s="32"/>
      <c r="V28" s="17"/>
      <c r="W28" s="41">
        <f t="shared" si="6"/>
        <v>0</v>
      </c>
      <c r="X28" s="18"/>
      <c r="Y28" s="17"/>
      <c r="Z28" s="41">
        <f t="shared" si="7"/>
        <v>0</v>
      </c>
      <c r="AA28" s="18"/>
      <c r="AB28" s="17"/>
      <c r="AC28" s="41">
        <f t="shared" si="8"/>
        <v>0</v>
      </c>
      <c r="AD28" s="18"/>
      <c r="AE28" s="17"/>
      <c r="AF28" s="41">
        <f t="shared" si="9"/>
        <v>0</v>
      </c>
      <c r="AG28" s="18"/>
      <c r="AH28" s="17"/>
      <c r="AI28" s="41">
        <f t="shared" si="10"/>
        <v>0</v>
      </c>
      <c r="AJ28" s="18"/>
      <c r="AK28" s="17"/>
      <c r="AL28" s="41">
        <f t="shared" si="11"/>
        <v>0</v>
      </c>
      <c r="AM28" s="54">
        <f t="shared" si="13"/>
        <v>0</v>
      </c>
      <c r="AN28" s="34"/>
      <c r="AP28" s="1" t="e">
        <f>VLOOKUP(A28,[1]BAJAS!$A$3:$D$45,3,FALSE)</f>
        <v>#N/A</v>
      </c>
    </row>
    <row r="29" spans="1:42" ht="16.5" customHeight="1">
      <c r="A29" s="37">
        <v>11045</v>
      </c>
      <c r="B29" s="35" t="s">
        <v>35</v>
      </c>
      <c r="C29" s="18"/>
      <c r="D29" s="17"/>
      <c r="E29" s="41">
        <f t="shared" si="0"/>
        <v>0</v>
      </c>
      <c r="F29" s="18"/>
      <c r="G29" s="17"/>
      <c r="H29" s="41">
        <f t="shared" si="1"/>
        <v>0</v>
      </c>
      <c r="I29" s="18"/>
      <c r="J29" s="17"/>
      <c r="K29" s="41">
        <f t="shared" si="2"/>
        <v>0</v>
      </c>
      <c r="L29" s="18"/>
      <c r="M29" s="17"/>
      <c r="N29" s="41">
        <f t="shared" si="3"/>
        <v>0</v>
      </c>
      <c r="O29" s="18"/>
      <c r="P29" s="17"/>
      <c r="Q29" s="41">
        <f t="shared" si="4"/>
        <v>0</v>
      </c>
      <c r="R29" s="18"/>
      <c r="S29" s="17"/>
      <c r="T29" s="41">
        <f t="shared" si="5"/>
        <v>0</v>
      </c>
      <c r="U29" s="32"/>
      <c r="V29" s="17"/>
      <c r="W29" s="41">
        <f t="shared" si="6"/>
        <v>0</v>
      </c>
      <c r="X29" s="18"/>
      <c r="Y29" s="17"/>
      <c r="Z29" s="41">
        <f t="shared" si="7"/>
        <v>0</v>
      </c>
      <c r="AA29" s="18"/>
      <c r="AB29" s="17"/>
      <c r="AC29" s="41">
        <f t="shared" si="8"/>
        <v>0</v>
      </c>
      <c r="AD29" s="18"/>
      <c r="AE29" s="17"/>
      <c r="AF29" s="41">
        <f t="shared" si="9"/>
        <v>0</v>
      </c>
      <c r="AG29" s="18"/>
      <c r="AH29" s="17"/>
      <c r="AI29" s="41">
        <f t="shared" si="10"/>
        <v>0</v>
      </c>
      <c r="AJ29" s="18"/>
      <c r="AK29" s="17"/>
      <c r="AL29" s="41">
        <f t="shared" si="11"/>
        <v>0</v>
      </c>
      <c r="AM29" s="54">
        <f t="shared" si="13"/>
        <v>0</v>
      </c>
      <c r="AN29" s="34"/>
      <c r="AP29" s="1" t="e">
        <f>VLOOKUP(A29,[1]BAJAS!$A$3:$D$45,3,FALSE)</f>
        <v>#N/A</v>
      </c>
    </row>
    <row r="30" spans="1:42" ht="16.5" customHeight="1">
      <c r="A30" s="37">
        <v>8274</v>
      </c>
      <c r="B30" s="35" t="s">
        <v>36</v>
      </c>
      <c r="C30" s="18"/>
      <c r="D30" s="17"/>
      <c r="E30" s="41">
        <f t="shared" si="0"/>
        <v>0</v>
      </c>
      <c r="F30" s="18"/>
      <c r="G30" s="17"/>
      <c r="H30" s="41">
        <f t="shared" si="1"/>
        <v>0</v>
      </c>
      <c r="I30" s="18"/>
      <c r="J30" s="17"/>
      <c r="K30" s="41">
        <f t="shared" si="2"/>
        <v>0</v>
      </c>
      <c r="L30" s="18"/>
      <c r="M30" s="17"/>
      <c r="N30" s="41">
        <f t="shared" si="3"/>
        <v>0</v>
      </c>
      <c r="O30" s="18"/>
      <c r="P30" s="17"/>
      <c r="Q30" s="41">
        <f t="shared" si="4"/>
        <v>0</v>
      </c>
      <c r="R30" s="18"/>
      <c r="S30" s="17"/>
      <c r="T30" s="41">
        <f t="shared" si="5"/>
        <v>0</v>
      </c>
      <c r="U30" s="32"/>
      <c r="V30" s="17"/>
      <c r="W30" s="41">
        <f t="shared" si="6"/>
        <v>0</v>
      </c>
      <c r="X30" s="18"/>
      <c r="Y30" s="17"/>
      <c r="Z30" s="41">
        <f t="shared" si="7"/>
        <v>0</v>
      </c>
      <c r="AA30" s="18"/>
      <c r="AB30" s="17"/>
      <c r="AC30" s="41">
        <f t="shared" si="8"/>
        <v>0</v>
      </c>
      <c r="AD30" s="18"/>
      <c r="AE30" s="17"/>
      <c r="AF30" s="41">
        <f t="shared" si="9"/>
        <v>0</v>
      </c>
      <c r="AG30" s="18"/>
      <c r="AH30" s="17"/>
      <c r="AI30" s="41">
        <f t="shared" si="10"/>
        <v>0</v>
      </c>
      <c r="AJ30" s="18"/>
      <c r="AK30" s="17"/>
      <c r="AL30" s="41">
        <f t="shared" si="11"/>
        <v>0</v>
      </c>
      <c r="AM30" s="54">
        <f t="shared" si="13"/>
        <v>0</v>
      </c>
      <c r="AN30" s="34"/>
      <c r="AP30" s="1" t="e">
        <f>VLOOKUP(A30,[1]BAJAS!$A$3:$D$45,3,FALSE)</f>
        <v>#N/A</v>
      </c>
    </row>
    <row r="31" spans="1:42" ht="16.5" customHeight="1">
      <c r="A31" s="37">
        <v>10177</v>
      </c>
      <c r="B31" s="35" t="s">
        <v>37</v>
      </c>
      <c r="C31" s="18"/>
      <c r="D31" s="17"/>
      <c r="E31" s="41">
        <f t="shared" si="0"/>
        <v>0</v>
      </c>
      <c r="F31" s="18"/>
      <c r="G31" s="17"/>
      <c r="H31" s="41">
        <f t="shared" si="1"/>
        <v>0</v>
      </c>
      <c r="I31" s="18"/>
      <c r="J31" s="17"/>
      <c r="K31" s="41">
        <f t="shared" si="2"/>
        <v>0</v>
      </c>
      <c r="L31" s="18"/>
      <c r="M31" s="17"/>
      <c r="N31" s="41">
        <f t="shared" si="3"/>
        <v>0</v>
      </c>
      <c r="O31" s="18"/>
      <c r="P31" s="17"/>
      <c r="Q31" s="41">
        <f t="shared" si="4"/>
        <v>0</v>
      </c>
      <c r="R31" s="18"/>
      <c r="S31" s="17"/>
      <c r="T31" s="41">
        <f t="shared" si="5"/>
        <v>0</v>
      </c>
      <c r="U31" s="32"/>
      <c r="V31" s="17"/>
      <c r="W31" s="41">
        <f t="shared" si="6"/>
        <v>0</v>
      </c>
      <c r="X31" s="18"/>
      <c r="Y31" s="17"/>
      <c r="Z31" s="41">
        <f t="shared" si="7"/>
        <v>0</v>
      </c>
      <c r="AA31" s="18"/>
      <c r="AB31" s="17"/>
      <c r="AC31" s="41">
        <f t="shared" si="8"/>
        <v>0</v>
      </c>
      <c r="AD31" s="18"/>
      <c r="AE31" s="17"/>
      <c r="AF31" s="41">
        <f t="shared" si="9"/>
        <v>0</v>
      </c>
      <c r="AG31" s="18"/>
      <c r="AH31" s="17"/>
      <c r="AI31" s="41">
        <f t="shared" si="10"/>
        <v>0</v>
      </c>
      <c r="AJ31" s="18"/>
      <c r="AK31" s="17"/>
      <c r="AL31" s="41">
        <f t="shared" si="11"/>
        <v>0</v>
      </c>
      <c r="AM31" s="54">
        <f t="shared" si="13"/>
        <v>0</v>
      </c>
      <c r="AN31" s="34"/>
      <c r="AP31" s="1" t="e">
        <f>VLOOKUP(A31,[1]BAJAS!$A$3:$D$45,3,FALSE)</f>
        <v>#N/A</v>
      </c>
    </row>
    <row r="32" spans="1:42" ht="16.5" customHeight="1">
      <c r="A32" s="42">
        <v>12783</v>
      </c>
      <c r="B32" s="35" t="s">
        <v>38</v>
      </c>
      <c r="C32" s="18"/>
      <c r="D32" s="17"/>
      <c r="E32" s="41">
        <f t="shared" si="0"/>
        <v>0</v>
      </c>
      <c r="F32" s="18"/>
      <c r="G32" s="17"/>
      <c r="H32" s="41">
        <f t="shared" si="1"/>
        <v>0</v>
      </c>
      <c r="I32" s="18"/>
      <c r="J32" s="17"/>
      <c r="K32" s="41">
        <f t="shared" si="2"/>
        <v>0</v>
      </c>
      <c r="L32" s="18"/>
      <c r="M32" s="17"/>
      <c r="N32" s="41">
        <f t="shared" si="3"/>
        <v>0</v>
      </c>
      <c r="O32" s="18"/>
      <c r="P32" s="17"/>
      <c r="Q32" s="41">
        <f t="shared" si="4"/>
        <v>0</v>
      </c>
      <c r="R32" s="18"/>
      <c r="S32" s="17"/>
      <c r="T32" s="41">
        <f t="shared" si="5"/>
        <v>0</v>
      </c>
      <c r="U32" s="32"/>
      <c r="V32" s="17"/>
      <c r="W32" s="41">
        <f t="shared" si="6"/>
        <v>0</v>
      </c>
      <c r="X32" s="18"/>
      <c r="Y32" s="17"/>
      <c r="Z32" s="41">
        <f t="shared" si="7"/>
        <v>0</v>
      </c>
      <c r="AA32" s="18"/>
      <c r="AB32" s="17"/>
      <c r="AC32" s="41">
        <f t="shared" si="8"/>
        <v>0</v>
      </c>
      <c r="AD32" s="18"/>
      <c r="AE32" s="17"/>
      <c r="AF32" s="41">
        <f t="shared" si="9"/>
        <v>0</v>
      </c>
      <c r="AG32" s="18"/>
      <c r="AH32" s="17"/>
      <c r="AI32" s="41">
        <f t="shared" si="10"/>
        <v>0</v>
      </c>
      <c r="AJ32" s="18"/>
      <c r="AK32" s="17"/>
      <c r="AL32" s="41">
        <f t="shared" si="11"/>
        <v>0</v>
      </c>
      <c r="AM32" s="54">
        <f t="shared" si="13"/>
        <v>0</v>
      </c>
      <c r="AN32" s="34"/>
      <c r="AP32" s="1" t="e">
        <f>VLOOKUP(A32,[1]BAJAS!$A$3:$D$45,3,FALSE)</f>
        <v>#N/A</v>
      </c>
    </row>
    <row r="33" spans="1:42" ht="16.5" customHeight="1">
      <c r="A33" s="37">
        <v>12421</v>
      </c>
      <c r="B33" s="35" t="s">
        <v>39</v>
      </c>
      <c r="C33" s="18"/>
      <c r="D33" s="17"/>
      <c r="E33" s="41">
        <f t="shared" si="0"/>
        <v>0</v>
      </c>
      <c r="F33" s="18"/>
      <c r="G33" s="17"/>
      <c r="H33" s="41">
        <f t="shared" si="1"/>
        <v>0</v>
      </c>
      <c r="I33" s="18"/>
      <c r="J33" s="17"/>
      <c r="K33" s="41">
        <f t="shared" si="2"/>
        <v>0</v>
      </c>
      <c r="L33" s="18"/>
      <c r="M33" s="17"/>
      <c r="N33" s="41">
        <f t="shared" si="3"/>
        <v>0</v>
      </c>
      <c r="O33" s="18"/>
      <c r="P33" s="17"/>
      <c r="Q33" s="41">
        <f t="shared" si="4"/>
        <v>0</v>
      </c>
      <c r="R33" s="18"/>
      <c r="S33" s="17"/>
      <c r="T33" s="41">
        <f t="shared" si="5"/>
        <v>0</v>
      </c>
      <c r="U33" s="32"/>
      <c r="V33" s="17"/>
      <c r="W33" s="41">
        <f t="shared" si="6"/>
        <v>0</v>
      </c>
      <c r="X33" s="18"/>
      <c r="Y33" s="17"/>
      <c r="Z33" s="41">
        <f t="shared" si="7"/>
        <v>0</v>
      </c>
      <c r="AA33" s="18"/>
      <c r="AB33" s="17"/>
      <c r="AC33" s="41">
        <f t="shared" si="8"/>
        <v>0</v>
      </c>
      <c r="AD33" s="18"/>
      <c r="AE33" s="17"/>
      <c r="AF33" s="41">
        <f t="shared" si="9"/>
        <v>0</v>
      </c>
      <c r="AG33" s="18"/>
      <c r="AH33" s="17"/>
      <c r="AI33" s="41">
        <f t="shared" si="10"/>
        <v>0</v>
      </c>
      <c r="AJ33" s="18"/>
      <c r="AK33" s="17"/>
      <c r="AL33" s="41">
        <f t="shared" si="11"/>
        <v>0</v>
      </c>
      <c r="AM33" s="54">
        <f t="shared" si="13"/>
        <v>0</v>
      </c>
      <c r="AN33" s="34"/>
      <c r="AP33" s="1" t="e">
        <f>VLOOKUP(A33,[1]BAJAS!$A$3:$D$45,3,FALSE)</f>
        <v>#N/A</v>
      </c>
    </row>
    <row r="34" spans="1:42" ht="16.5" customHeight="1">
      <c r="A34" s="47">
        <v>12634</v>
      </c>
      <c r="B34" s="35" t="s">
        <v>40</v>
      </c>
      <c r="C34" s="18"/>
      <c r="D34" s="17"/>
      <c r="E34" s="41">
        <f t="shared" si="0"/>
        <v>0</v>
      </c>
      <c r="F34" s="18"/>
      <c r="G34" s="17"/>
      <c r="H34" s="41">
        <f t="shared" si="1"/>
        <v>0</v>
      </c>
      <c r="I34" s="18"/>
      <c r="J34" s="17"/>
      <c r="K34" s="41">
        <f t="shared" si="2"/>
        <v>0</v>
      </c>
      <c r="L34" s="18"/>
      <c r="M34" s="17"/>
      <c r="N34" s="41">
        <f t="shared" si="3"/>
        <v>0</v>
      </c>
      <c r="O34" s="18"/>
      <c r="P34" s="17"/>
      <c r="Q34" s="41">
        <f t="shared" si="4"/>
        <v>0</v>
      </c>
      <c r="R34" s="18"/>
      <c r="S34" s="17"/>
      <c r="T34" s="41">
        <f t="shared" si="5"/>
        <v>0</v>
      </c>
      <c r="U34" s="32"/>
      <c r="V34" s="17"/>
      <c r="W34" s="41">
        <f t="shared" si="6"/>
        <v>0</v>
      </c>
      <c r="X34" s="18"/>
      <c r="Y34" s="17"/>
      <c r="Z34" s="41">
        <f t="shared" si="7"/>
        <v>0</v>
      </c>
      <c r="AA34" s="18"/>
      <c r="AB34" s="17"/>
      <c r="AC34" s="41">
        <f t="shared" si="8"/>
        <v>0</v>
      </c>
      <c r="AD34" s="18"/>
      <c r="AE34" s="17"/>
      <c r="AF34" s="41">
        <f t="shared" si="9"/>
        <v>0</v>
      </c>
      <c r="AG34" s="18"/>
      <c r="AH34" s="17"/>
      <c r="AI34" s="41">
        <f t="shared" si="10"/>
        <v>0</v>
      </c>
      <c r="AJ34" s="18"/>
      <c r="AK34" s="17"/>
      <c r="AL34" s="41">
        <f t="shared" si="11"/>
        <v>0</v>
      </c>
      <c r="AM34" s="54">
        <f t="shared" si="12"/>
        <v>0</v>
      </c>
      <c r="AN34" s="34"/>
      <c r="AP34" s="1" t="e">
        <f>VLOOKUP(A34,[1]BAJAS!$A$3:$D$45,3,FALSE)</f>
        <v>#N/A</v>
      </c>
    </row>
    <row r="35" spans="1:42" ht="16.5" customHeight="1">
      <c r="A35" s="37">
        <v>11454</v>
      </c>
      <c r="B35" s="35" t="s">
        <v>41</v>
      </c>
      <c r="C35" s="18"/>
      <c r="D35" s="17"/>
      <c r="E35" s="41">
        <f t="shared" si="0"/>
        <v>0</v>
      </c>
      <c r="F35" s="18"/>
      <c r="G35" s="17"/>
      <c r="H35" s="41">
        <f t="shared" si="1"/>
        <v>0</v>
      </c>
      <c r="I35" s="18"/>
      <c r="J35" s="17"/>
      <c r="K35" s="41">
        <f t="shared" si="2"/>
        <v>0</v>
      </c>
      <c r="L35" s="18"/>
      <c r="M35" s="17"/>
      <c r="N35" s="41">
        <f t="shared" si="3"/>
        <v>0</v>
      </c>
      <c r="O35" s="18"/>
      <c r="P35" s="17"/>
      <c r="Q35" s="41">
        <f t="shared" si="4"/>
        <v>0</v>
      </c>
      <c r="R35" s="18"/>
      <c r="S35" s="17"/>
      <c r="T35" s="41">
        <f t="shared" si="5"/>
        <v>0</v>
      </c>
      <c r="U35" s="32"/>
      <c r="V35" s="17"/>
      <c r="W35" s="41">
        <f t="shared" si="6"/>
        <v>0</v>
      </c>
      <c r="X35" s="18"/>
      <c r="Y35" s="17"/>
      <c r="Z35" s="41">
        <f t="shared" si="7"/>
        <v>0</v>
      </c>
      <c r="AA35" s="18"/>
      <c r="AB35" s="17"/>
      <c r="AC35" s="41">
        <f t="shared" si="8"/>
        <v>0</v>
      </c>
      <c r="AD35" s="18"/>
      <c r="AE35" s="17"/>
      <c r="AF35" s="41">
        <f t="shared" si="9"/>
        <v>0</v>
      </c>
      <c r="AG35" s="18"/>
      <c r="AH35" s="17"/>
      <c r="AI35" s="41">
        <f t="shared" si="10"/>
        <v>0</v>
      </c>
      <c r="AJ35" s="18"/>
      <c r="AK35" s="17"/>
      <c r="AL35" s="41">
        <f t="shared" si="11"/>
        <v>0</v>
      </c>
      <c r="AM35" s="54">
        <f t="shared" si="12"/>
        <v>0</v>
      </c>
      <c r="AN35" s="34"/>
      <c r="AP35" s="1" t="e">
        <f>VLOOKUP(A35,[1]BAJAS!$A$3:$D$45,3,FALSE)</f>
        <v>#N/A</v>
      </c>
    </row>
    <row r="36" spans="1:42" ht="16.5" customHeight="1">
      <c r="A36" s="37">
        <v>5847</v>
      </c>
      <c r="B36" s="35" t="s">
        <v>42</v>
      </c>
      <c r="C36" s="18"/>
      <c r="D36" s="17"/>
      <c r="E36" s="41">
        <f t="shared" si="0"/>
        <v>0</v>
      </c>
      <c r="F36" s="18"/>
      <c r="G36" s="17"/>
      <c r="H36" s="41">
        <f t="shared" si="1"/>
        <v>0</v>
      </c>
      <c r="I36" s="18"/>
      <c r="J36" s="17"/>
      <c r="K36" s="41">
        <f t="shared" si="2"/>
        <v>0</v>
      </c>
      <c r="L36" s="18"/>
      <c r="M36" s="17"/>
      <c r="N36" s="41">
        <f t="shared" si="3"/>
        <v>0</v>
      </c>
      <c r="O36" s="18"/>
      <c r="P36" s="17"/>
      <c r="Q36" s="41">
        <f t="shared" si="4"/>
        <v>0</v>
      </c>
      <c r="R36" s="18"/>
      <c r="S36" s="17"/>
      <c r="T36" s="41">
        <f t="shared" si="5"/>
        <v>0</v>
      </c>
      <c r="U36" s="32"/>
      <c r="V36" s="17"/>
      <c r="W36" s="41">
        <f t="shared" si="6"/>
        <v>0</v>
      </c>
      <c r="X36" s="18"/>
      <c r="Y36" s="17"/>
      <c r="Z36" s="41">
        <f t="shared" si="7"/>
        <v>0</v>
      </c>
      <c r="AA36" s="18"/>
      <c r="AB36" s="17"/>
      <c r="AC36" s="41">
        <f t="shared" si="8"/>
        <v>0</v>
      </c>
      <c r="AD36" s="18"/>
      <c r="AE36" s="17"/>
      <c r="AF36" s="41">
        <f t="shared" si="9"/>
        <v>0</v>
      </c>
      <c r="AG36" s="18"/>
      <c r="AH36" s="17"/>
      <c r="AI36" s="41">
        <f t="shared" si="10"/>
        <v>0</v>
      </c>
      <c r="AJ36" s="18"/>
      <c r="AK36" s="17"/>
      <c r="AL36" s="41">
        <f t="shared" si="11"/>
        <v>0</v>
      </c>
      <c r="AM36" s="54">
        <f t="shared" si="12"/>
        <v>0</v>
      </c>
      <c r="AN36" s="34"/>
      <c r="AP36" s="1" t="e">
        <f>VLOOKUP(A36,[1]BAJAS!$A$3:$D$45,3,FALSE)</f>
        <v>#N/A</v>
      </c>
    </row>
    <row r="37" spans="1:42" ht="16.5" customHeight="1">
      <c r="A37" s="47">
        <v>12645</v>
      </c>
      <c r="B37" s="35" t="s">
        <v>43</v>
      </c>
      <c r="C37" s="18"/>
      <c r="D37" s="17"/>
      <c r="E37" s="41">
        <f t="shared" si="0"/>
        <v>0</v>
      </c>
      <c r="F37" s="18"/>
      <c r="G37" s="17"/>
      <c r="H37" s="41">
        <f t="shared" si="1"/>
        <v>0</v>
      </c>
      <c r="I37" s="18"/>
      <c r="J37" s="17"/>
      <c r="K37" s="41">
        <f t="shared" si="2"/>
        <v>0</v>
      </c>
      <c r="L37" s="18"/>
      <c r="M37" s="17"/>
      <c r="N37" s="41">
        <f t="shared" si="3"/>
        <v>0</v>
      </c>
      <c r="O37" s="18"/>
      <c r="P37" s="17"/>
      <c r="Q37" s="41">
        <f t="shared" si="4"/>
        <v>0</v>
      </c>
      <c r="R37" s="18"/>
      <c r="S37" s="17"/>
      <c r="T37" s="41">
        <f t="shared" si="5"/>
        <v>0</v>
      </c>
      <c r="U37" s="32"/>
      <c r="V37" s="17"/>
      <c r="W37" s="41">
        <f t="shared" si="6"/>
        <v>0</v>
      </c>
      <c r="X37" s="18"/>
      <c r="Y37" s="17"/>
      <c r="Z37" s="41">
        <f t="shared" si="7"/>
        <v>0</v>
      </c>
      <c r="AA37" s="18"/>
      <c r="AB37" s="17"/>
      <c r="AC37" s="41">
        <f t="shared" si="8"/>
        <v>0</v>
      </c>
      <c r="AD37" s="18"/>
      <c r="AE37" s="17"/>
      <c r="AF37" s="41">
        <f t="shared" si="9"/>
        <v>0</v>
      </c>
      <c r="AG37" s="18"/>
      <c r="AH37" s="17"/>
      <c r="AI37" s="41">
        <f t="shared" si="10"/>
        <v>0</v>
      </c>
      <c r="AJ37" s="18"/>
      <c r="AK37" s="17"/>
      <c r="AL37" s="41">
        <f t="shared" si="11"/>
        <v>0</v>
      </c>
      <c r="AM37" s="54">
        <f t="shared" ref="AM37:AM47" si="14">COUNTIF(C37:AL37,"si")</f>
        <v>0</v>
      </c>
      <c r="AN37" s="34"/>
      <c r="AP37" s="1" t="e">
        <f>VLOOKUP(A37,[1]BAJAS!$A$3:$D$45,3,FALSE)</f>
        <v>#N/A</v>
      </c>
    </row>
    <row r="38" spans="1:42" ht="16.5" customHeight="1">
      <c r="A38" s="37">
        <v>7184</v>
      </c>
      <c r="B38" s="35" t="s">
        <v>44</v>
      </c>
      <c r="C38" s="18"/>
      <c r="D38" s="17"/>
      <c r="E38" s="41">
        <f t="shared" si="0"/>
        <v>0</v>
      </c>
      <c r="F38" s="18"/>
      <c r="G38" s="17"/>
      <c r="H38" s="41">
        <f t="shared" si="1"/>
        <v>0</v>
      </c>
      <c r="I38" s="18"/>
      <c r="J38" s="17"/>
      <c r="K38" s="41">
        <f t="shared" si="2"/>
        <v>0</v>
      </c>
      <c r="L38" s="18"/>
      <c r="M38" s="17"/>
      <c r="N38" s="41">
        <f t="shared" si="3"/>
        <v>0</v>
      </c>
      <c r="O38" s="18"/>
      <c r="P38" s="17"/>
      <c r="Q38" s="41">
        <f t="shared" si="4"/>
        <v>0</v>
      </c>
      <c r="R38" s="18"/>
      <c r="S38" s="17"/>
      <c r="T38" s="41">
        <f t="shared" si="5"/>
        <v>0</v>
      </c>
      <c r="U38" s="32"/>
      <c r="V38" s="17"/>
      <c r="W38" s="41">
        <f t="shared" si="6"/>
        <v>0</v>
      </c>
      <c r="X38" s="18"/>
      <c r="Y38" s="17"/>
      <c r="Z38" s="41">
        <f t="shared" si="7"/>
        <v>0</v>
      </c>
      <c r="AA38" s="18"/>
      <c r="AB38" s="17"/>
      <c r="AC38" s="41">
        <f t="shared" si="8"/>
        <v>0</v>
      </c>
      <c r="AD38" s="18"/>
      <c r="AE38" s="17"/>
      <c r="AF38" s="41">
        <f t="shared" si="9"/>
        <v>0</v>
      </c>
      <c r="AG38" s="18"/>
      <c r="AH38" s="17"/>
      <c r="AI38" s="41">
        <f t="shared" si="10"/>
        <v>0</v>
      </c>
      <c r="AJ38" s="18"/>
      <c r="AK38" s="17"/>
      <c r="AL38" s="41">
        <f t="shared" si="11"/>
        <v>0</v>
      </c>
      <c r="AM38" s="54">
        <f t="shared" si="14"/>
        <v>0</v>
      </c>
      <c r="AN38" s="34"/>
      <c r="AP38" s="1" t="e">
        <f>VLOOKUP(A38,[1]BAJAS!$A$3:$D$45,3,FALSE)</f>
        <v>#N/A</v>
      </c>
    </row>
    <row r="39" spans="1:42" ht="16.5" customHeight="1">
      <c r="A39" s="47">
        <v>12633</v>
      </c>
      <c r="B39" s="35" t="s">
        <v>45</v>
      </c>
      <c r="C39" s="18"/>
      <c r="D39" s="17"/>
      <c r="E39" s="41">
        <f t="shared" si="0"/>
        <v>0</v>
      </c>
      <c r="F39" s="18"/>
      <c r="G39" s="17"/>
      <c r="H39" s="41">
        <f t="shared" si="1"/>
        <v>0</v>
      </c>
      <c r="I39" s="18"/>
      <c r="J39" s="17"/>
      <c r="K39" s="41">
        <f t="shared" si="2"/>
        <v>0</v>
      </c>
      <c r="L39" s="18"/>
      <c r="M39" s="17"/>
      <c r="N39" s="41">
        <f t="shared" si="3"/>
        <v>0</v>
      </c>
      <c r="O39" s="18"/>
      <c r="P39" s="17"/>
      <c r="Q39" s="41">
        <f t="shared" si="4"/>
        <v>0</v>
      </c>
      <c r="R39" s="18"/>
      <c r="S39" s="17"/>
      <c r="T39" s="41">
        <f t="shared" si="5"/>
        <v>0</v>
      </c>
      <c r="U39" s="32"/>
      <c r="V39" s="17"/>
      <c r="W39" s="41">
        <f t="shared" si="6"/>
        <v>0</v>
      </c>
      <c r="X39" s="18"/>
      <c r="Y39" s="17"/>
      <c r="Z39" s="41">
        <f t="shared" si="7"/>
        <v>0</v>
      </c>
      <c r="AA39" s="18"/>
      <c r="AB39" s="17"/>
      <c r="AC39" s="41">
        <f t="shared" si="8"/>
        <v>0</v>
      </c>
      <c r="AD39" s="18"/>
      <c r="AE39" s="17"/>
      <c r="AF39" s="41">
        <f t="shared" si="9"/>
        <v>0</v>
      </c>
      <c r="AG39" s="18"/>
      <c r="AH39" s="17"/>
      <c r="AI39" s="41">
        <f t="shared" si="10"/>
        <v>0</v>
      </c>
      <c r="AJ39" s="18"/>
      <c r="AK39" s="17"/>
      <c r="AL39" s="41">
        <f t="shared" si="11"/>
        <v>0</v>
      </c>
      <c r="AM39" s="54">
        <f t="shared" si="14"/>
        <v>0</v>
      </c>
      <c r="AN39" s="34"/>
      <c r="AP39" s="1" t="e">
        <f>VLOOKUP(A39,[1]BAJAS!$A$3:$D$45,3,FALSE)</f>
        <v>#N/A</v>
      </c>
    </row>
    <row r="40" spans="1:42" ht="16.5" customHeight="1">
      <c r="A40" s="47">
        <v>12630</v>
      </c>
      <c r="B40" s="35" t="s">
        <v>46</v>
      </c>
      <c r="C40" s="18"/>
      <c r="D40" s="17"/>
      <c r="E40" s="41">
        <f t="shared" si="0"/>
        <v>0</v>
      </c>
      <c r="F40" s="18"/>
      <c r="G40" s="17"/>
      <c r="H40" s="41">
        <f t="shared" si="1"/>
        <v>0</v>
      </c>
      <c r="I40" s="18"/>
      <c r="J40" s="17"/>
      <c r="K40" s="41">
        <f t="shared" si="2"/>
        <v>0</v>
      </c>
      <c r="L40" s="18"/>
      <c r="M40" s="17"/>
      <c r="N40" s="41">
        <f t="shared" si="3"/>
        <v>0</v>
      </c>
      <c r="O40" s="18"/>
      <c r="P40" s="17"/>
      <c r="Q40" s="41">
        <f t="shared" si="4"/>
        <v>0</v>
      </c>
      <c r="R40" s="18"/>
      <c r="S40" s="17"/>
      <c r="T40" s="41">
        <f t="shared" si="5"/>
        <v>0</v>
      </c>
      <c r="U40" s="32"/>
      <c r="V40" s="17"/>
      <c r="W40" s="41">
        <f t="shared" si="6"/>
        <v>0</v>
      </c>
      <c r="X40" s="18"/>
      <c r="Y40" s="17"/>
      <c r="Z40" s="41">
        <f t="shared" si="7"/>
        <v>0</v>
      </c>
      <c r="AA40" s="18"/>
      <c r="AB40" s="17"/>
      <c r="AC40" s="41">
        <f t="shared" si="8"/>
        <v>0</v>
      </c>
      <c r="AD40" s="18"/>
      <c r="AE40" s="17"/>
      <c r="AF40" s="41">
        <f t="shared" si="9"/>
        <v>0</v>
      </c>
      <c r="AG40" s="18"/>
      <c r="AH40" s="17"/>
      <c r="AI40" s="41">
        <f t="shared" si="10"/>
        <v>0</v>
      </c>
      <c r="AJ40" s="18"/>
      <c r="AK40" s="17"/>
      <c r="AL40" s="41">
        <f t="shared" si="11"/>
        <v>0</v>
      </c>
      <c r="AM40" s="54">
        <f t="shared" si="14"/>
        <v>0</v>
      </c>
      <c r="AN40" s="34"/>
      <c r="AP40" s="1" t="e">
        <f>VLOOKUP(A40,[1]BAJAS!$A$3:$D$45,3,FALSE)</f>
        <v>#N/A</v>
      </c>
    </row>
    <row r="41" spans="1:42" ht="16.5" customHeight="1">
      <c r="A41" s="37">
        <v>1468</v>
      </c>
      <c r="B41" s="35" t="s">
        <v>47</v>
      </c>
      <c r="C41" s="18"/>
      <c r="D41" s="17"/>
      <c r="E41" s="41">
        <f t="shared" si="0"/>
        <v>0</v>
      </c>
      <c r="F41" s="18"/>
      <c r="G41" s="17"/>
      <c r="H41" s="41">
        <f t="shared" si="1"/>
        <v>0</v>
      </c>
      <c r="I41" s="18"/>
      <c r="J41" s="17"/>
      <c r="K41" s="41">
        <f t="shared" si="2"/>
        <v>0</v>
      </c>
      <c r="L41" s="18"/>
      <c r="M41" s="17"/>
      <c r="N41" s="41">
        <f t="shared" si="3"/>
        <v>0</v>
      </c>
      <c r="O41" s="18"/>
      <c r="P41" s="17"/>
      <c r="Q41" s="41">
        <f t="shared" si="4"/>
        <v>0</v>
      </c>
      <c r="R41" s="18"/>
      <c r="S41" s="17"/>
      <c r="T41" s="41">
        <f t="shared" si="5"/>
        <v>0</v>
      </c>
      <c r="U41" s="32"/>
      <c r="V41" s="17"/>
      <c r="W41" s="41">
        <f t="shared" si="6"/>
        <v>0</v>
      </c>
      <c r="X41" s="18"/>
      <c r="Y41" s="17"/>
      <c r="Z41" s="41">
        <f t="shared" si="7"/>
        <v>0</v>
      </c>
      <c r="AA41" s="18"/>
      <c r="AB41" s="17"/>
      <c r="AC41" s="41">
        <f t="shared" si="8"/>
        <v>0</v>
      </c>
      <c r="AD41" s="18"/>
      <c r="AE41" s="17"/>
      <c r="AF41" s="41">
        <f t="shared" si="9"/>
        <v>0</v>
      </c>
      <c r="AG41" s="18"/>
      <c r="AH41" s="17"/>
      <c r="AI41" s="41">
        <f t="shared" si="10"/>
        <v>0</v>
      </c>
      <c r="AJ41" s="18"/>
      <c r="AK41" s="17"/>
      <c r="AL41" s="41">
        <f t="shared" si="11"/>
        <v>0</v>
      </c>
      <c r="AM41" s="54">
        <f t="shared" si="14"/>
        <v>0</v>
      </c>
      <c r="AN41" s="34"/>
      <c r="AP41" s="1" t="e">
        <f>VLOOKUP(A41,[1]BAJAS!$A$3:$D$45,3,FALSE)</f>
        <v>#N/A</v>
      </c>
    </row>
    <row r="42" spans="1:42" ht="16.5" customHeight="1">
      <c r="A42" s="47">
        <v>12640</v>
      </c>
      <c r="B42" s="35" t="s">
        <v>48</v>
      </c>
      <c r="C42" s="18"/>
      <c r="D42" s="17"/>
      <c r="E42" s="41">
        <f t="shared" si="0"/>
        <v>0</v>
      </c>
      <c r="F42" s="18"/>
      <c r="G42" s="17"/>
      <c r="H42" s="41">
        <f t="shared" si="1"/>
        <v>0</v>
      </c>
      <c r="I42" s="18"/>
      <c r="J42" s="17"/>
      <c r="K42" s="41">
        <f t="shared" si="2"/>
        <v>0</v>
      </c>
      <c r="L42" s="18"/>
      <c r="M42" s="17"/>
      <c r="N42" s="41">
        <f t="shared" si="3"/>
        <v>0</v>
      </c>
      <c r="O42" s="18"/>
      <c r="P42" s="17"/>
      <c r="Q42" s="41">
        <f t="shared" si="4"/>
        <v>0</v>
      </c>
      <c r="R42" s="18"/>
      <c r="S42" s="17"/>
      <c r="T42" s="41">
        <f t="shared" si="5"/>
        <v>0</v>
      </c>
      <c r="U42" s="32"/>
      <c r="V42" s="17"/>
      <c r="W42" s="41">
        <f t="shared" si="6"/>
        <v>0</v>
      </c>
      <c r="X42" s="18"/>
      <c r="Y42" s="17"/>
      <c r="Z42" s="41">
        <f t="shared" si="7"/>
        <v>0</v>
      </c>
      <c r="AA42" s="18"/>
      <c r="AB42" s="17"/>
      <c r="AC42" s="41">
        <f t="shared" si="8"/>
        <v>0</v>
      </c>
      <c r="AD42" s="18"/>
      <c r="AE42" s="17"/>
      <c r="AF42" s="41">
        <f t="shared" si="9"/>
        <v>0</v>
      </c>
      <c r="AG42" s="18"/>
      <c r="AH42" s="17"/>
      <c r="AI42" s="41">
        <f t="shared" si="10"/>
        <v>0</v>
      </c>
      <c r="AJ42" s="18"/>
      <c r="AK42" s="17"/>
      <c r="AL42" s="41">
        <f t="shared" si="11"/>
        <v>0</v>
      </c>
      <c r="AM42" s="54">
        <f t="shared" si="14"/>
        <v>0</v>
      </c>
      <c r="AN42" s="34"/>
      <c r="AP42" s="1" t="e">
        <f>VLOOKUP(A42,[1]BAJAS!$A$3:$D$45,3,FALSE)</f>
        <v>#N/A</v>
      </c>
    </row>
    <row r="43" spans="1:42" ht="16.5" customHeight="1">
      <c r="A43" s="37">
        <v>11413</v>
      </c>
      <c r="B43" s="35" t="s">
        <v>49</v>
      </c>
      <c r="C43" s="18"/>
      <c r="D43" s="17"/>
      <c r="E43" s="41">
        <f t="shared" si="0"/>
        <v>0</v>
      </c>
      <c r="F43" s="18"/>
      <c r="G43" s="17"/>
      <c r="H43" s="41">
        <f t="shared" si="1"/>
        <v>0</v>
      </c>
      <c r="I43" s="18"/>
      <c r="J43" s="17"/>
      <c r="K43" s="41">
        <f t="shared" si="2"/>
        <v>0</v>
      </c>
      <c r="L43" s="18"/>
      <c r="M43" s="17"/>
      <c r="N43" s="41">
        <f t="shared" si="3"/>
        <v>0</v>
      </c>
      <c r="O43" s="18"/>
      <c r="P43" s="17"/>
      <c r="Q43" s="41">
        <f t="shared" si="4"/>
        <v>0</v>
      </c>
      <c r="R43" s="18"/>
      <c r="S43" s="17"/>
      <c r="T43" s="41">
        <f t="shared" si="5"/>
        <v>0</v>
      </c>
      <c r="U43" s="32"/>
      <c r="V43" s="17"/>
      <c r="W43" s="41">
        <f t="shared" si="6"/>
        <v>0</v>
      </c>
      <c r="X43" s="18"/>
      <c r="Y43" s="17"/>
      <c r="Z43" s="41">
        <f t="shared" si="7"/>
        <v>0</v>
      </c>
      <c r="AA43" s="18"/>
      <c r="AB43" s="17"/>
      <c r="AC43" s="41">
        <f t="shared" si="8"/>
        <v>0</v>
      </c>
      <c r="AD43" s="18"/>
      <c r="AE43" s="17"/>
      <c r="AF43" s="41">
        <f t="shared" si="9"/>
        <v>0</v>
      </c>
      <c r="AG43" s="18"/>
      <c r="AH43" s="17"/>
      <c r="AI43" s="41">
        <f t="shared" si="10"/>
        <v>0</v>
      </c>
      <c r="AJ43" s="18"/>
      <c r="AK43" s="17"/>
      <c r="AL43" s="41">
        <f t="shared" si="11"/>
        <v>0</v>
      </c>
      <c r="AM43" s="54">
        <f t="shared" si="14"/>
        <v>0</v>
      </c>
      <c r="AN43" s="34"/>
      <c r="AP43" s="1" t="e">
        <f>VLOOKUP(A43,[1]BAJAS!$A$3:$D$45,3,FALSE)</f>
        <v>#N/A</v>
      </c>
    </row>
    <row r="44" spans="1:42" ht="16.5" customHeight="1">
      <c r="A44" s="37">
        <v>6176</v>
      </c>
      <c r="B44" s="35" t="s">
        <v>50</v>
      </c>
      <c r="C44" s="18"/>
      <c r="D44" s="17"/>
      <c r="E44" s="41">
        <f t="shared" si="0"/>
        <v>0</v>
      </c>
      <c r="F44" s="18"/>
      <c r="G44" s="17"/>
      <c r="H44" s="41">
        <f t="shared" si="1"/>
        <v>0</v>
      </c>
      <c r="I44" s="18"/>
      <c r="J44" s="17"/>
      <c r="K44" s="41">
        <f t="shared" si="2"/>
        <v>0</v>
      </c>
      <c r="L44" s="18"/>
      <c r="M44" s="17"/>
      <c r="N44" s="41">
        <f t="shared" si="3"/>
        <v>0</v>
      </c>
      <c r="O44" s="18"/>
      <c r="P44" s="17"/>
      <c r="Q44" s="41">
        <f t="shared" si="4"/>
        <v>0</v>
      </c>
      <c r="R44" s="18"/>
      <c r="S44" s="17"/>
      <c r="T44" s="41">
        <f t="shared" si="5"/>
        <v>0</v>
      </c>
      <c r="U44" s="32"/>
      <c r="V44" s="17"/>
      <c r="W44" s="41">
        <f t="shared" si="6"/>
        <v>0</v>
      </c>
      <c r="X44" s="18"/>
      <c r="Y44" s="17"/>
      <c r="Z44" s="41">
        <f t="shared" si="7"/>
        <v>0</v>
      </c>
      <c r="AA44" s="18"/>
      <c r="AB44" s="17"/>
      <c r="AC44" s="41">
        <f t="shared" si="8"/>
        <v>0</v>
      </c>
      <c r="AD44" s="18"/>
      <c r="AE44" s="17"/>
      <c r="AF44" s="41">
        <f t="shared" si="9"/>
        <v>0</v>
      </c>
      <c r="AG44" s="18"/>
      <c r="AH44" s="17"/>
      <c r="AI44" s="41">
        <f t="shared" si="10"/>
        <v>0</v>
      </c>
      <c r="AJ44" s="18"/>
      <c r="AK44" s="17"/>
      <c r="AL44" s="41">
        <f t="shared" si="11"/>
        <v>0</v>
      </c>
      <c r="AM44" s="54">
        <f t="shared" si="14"/>
        <v>0</v>
      </c>
      <c r="AN44" s="34"/>
      <c r="AP44" s="1" t="e">
        <f>VLOOKUP(A44,[1]BAJAS!$A$3:$D$45,3,FALSE)</f>
        <v>#N/A</v>
      </c>
    </row>
    <row r="45" spans="1:42" ht="16.5" customHeight="1">
      <c r="A45" s="37">
        <v>8262</v>
      </c>
      <c r="B45" s="35" t="s">
        <v>51</v>
      </c>
      <c r="C45" s="18"/>
      <c r="D45" s="17"/>
      <c r="E45" s="41">
        <f t="shared" si="0"/>
        <v>0</v>
      </c>
      <c r="F45" s="18"/>
      <c r="G45" s="17"/>
      <c r="H45" s="41">
        <f t="shared" si="1"/>
        <v>0</v>
      </c>
      <c r="I45" s="18"/>
      <c r="J45" s="17"/>
      <c r="K45" s="41">
        <f t="shared" si="2"/>
        <v>0</v>
      </c>
      <c r="L45" s="18"/>
      <c r="M45" s="17"/>
      <c r="N45" s="41">
        <f t="shared" si="3"/>
        <v>0</v>
      </c>
      <c r="O45" s="18"/>
      <c r="P45" s="17"/>
      <c r="Q45" s="41">
        <f t="shared" si="4"/>
        <v>0</v>
      </c>
      <c r="R45" s="18"/>
      <c r="S45" s="17"/>
      <c r="T45" s="41">
        <f t="shared" si="5"/>
        <v>0</v>
      </c>
      <c r="U45" s="32"/>
      <c r="V45" s="17"/>
      <c r="W45" s="41">
        <f t="shared" si="6"/>
        <v>0</v>
      </c>
      <c r="X45" s="18"/>
      <c r="Y45" s="17"/>
      <c r="Z45" s="41">
        <f t="shared" si="7"/>
        <v>0</v>
      </c>
      <c r="AA45" s="18"/>
      <c r="AB45" s="17"/>
      <c r="AC45" s="41">
        <f t="shared" si="8"/>
        <v>0</v>
      </c>
      <c r="AD45" s="18"/>
      <c r="AE45" s="17"/>
      <c r="AF45" s="41">
        <f t="shared" si="9"/>
        <v>0</v>
      </c>
      <c r="AG45" s="18"/>
      <c r="AH45" s="17"/>
      <c r="AI45" s="41">
        <f t="shared" si="10"/>
        <v>0</v>
      </c>
      <c r="AJ45" s="18"/>
      <c r="AK45" s="17"/>
      <c r="AL45" s="41">
        <f t="shared" si="11"/>
        <v>0</v>
      </c>
      <c r="AM45" s="54">
        <f t="shared" si="14"/>
        <v>0</v>
      </c>
      <c r="AN45" s="34"/>
      <c r="AP45" s="1" t="e">
        <f>VLOOKUP(A45,[1]BAJAS!$A$3:$D$45,3,FALSE)</f>
        <v>#N/A</v>
      </c>
    </row>
    <row r="46" spans="1:42" ht="16.5" customHeight="1">
      <c r="A46" s="37">
        <v>5240</v>
      </c>
      <c r="B46" s="35" t="s">
        <v>52</v>
      </c>
      <c r="C46" s="18"/>
      <c r="D46" s="17"/>
      <c r="E46" s="41">
        <f t="shared" si="0"/>
        <v>0</v>
      </c>
      <c r="F46" s="18"/>
      <c r="G46" s="17"/>
      <c r="H46" s="41">
        <f t="shared" si="1"/>
        <v>0</v>
      </c>
      <c r="I46" s="18"/>
      <c r="J46" s="17"/>
      <c r="K46" s="41">
        <f t="shared" si="2"/>
        <v>0</v>
      </c>
      <c r="L46" s="18"/>
      <c r="M46" s="17"/>
      <c r="N46" s="41">
        <f t="shared" si="3"/>
        <v>0</v>
      </c>
      <c r="O46" s="18"/>
      <c r="P46" s="17"/>
      <c r="Q46" s="41">
        <f t="shared" si="4"/>
        <v>0</v>
      </c>
      <c r="R46" s="18"/>
      <c r="S46" s="17"/>
      <c r="T46" s="41">
        <f t="shared" si="5"/>
        <v>0</v>
      </c>
      <c r="U46" s="32"/>
      <c r="V46" s="17"/>
      <c r="W46" s="41">
        <f t="shared" si="6"/>
        <v>0</v>
      </c>
      <c r="X46" s="18"/>
      <c r="Y46" s="17"/>
      <c r="Z46" s="41">
        <f t="shared" si="7"/>
        <v>0</v>
      </c>
      <c r="AA46" s="18"/>
      <c r="AB46" s="17"/>
      <c r="AC46" s="41">
        <f t="shared" si="8"/>
        <v>0</v>
      </c>
      <c r="AD46" s="18"/>
      <c r="AE46" s="17"/>
      <c r="AF46" s="41">
        <f t="shared" si="9"/>
        <v>0</v>
      </c>
      <c r="AG46" s="18"/>
      <c r="AH46" s="17"/>
      <c r="AI46" s="41">
        <f t="shared" si="10"/>
        <v>0</v>
      </c>
      <c r="AJ46" s="18"/>
      <c r="AK46" s="17"/>
      <c r="AL46" s="41">
        <f t="shared" si="11"/>
        <v>0</v>
      </c>
      <c r="AM46" s="54">
        <f t="shared" si="14"/>
        <v>0</v>
      </c>
      <c r="AN46" s="34"/>
      <c r="AP46" s="1" t="e">
        <f>VLOOKUP(A46,[1]BAJAS!$A$3:$D$45,3,FALSE)</f>
        <v>#N/A</v>
      </c>
    </row>
    <row r="47" spans="1:42" ht="16.5" customHeight="1">
      <c r="A47" s="42">
        <v>12790</v>
      </c>
      <c r="B47" s="35" t="s">
        <v>53</v>
      </c>
      <c r="C47" s="18"/>
      <c r="D47" s="17"/>
      <c r="E47" s="41">
        <f t="shared" si="0"/>
        <v>0</v>
      </c>
      <c r="F47" s="18"/>
      <c r="G47" s="17"/>
      <c r="H47" s="41">
        <f t="shared" si="1"/>
        <v>0</v>
      </c>
      <c r="I47" s="18"/>
      <c r="J47" s="17"/>
      <c r="K47" s="41">
        <f t="shared" si="2"/>
        <v>0</v>
      </c>
      <c r="L47" s="18"/>
      <c r="M47" s="17"/>
      <c r="N47" s="41">
        <f t="shared" si="3"/>
        <v>0</v>
      </c>
      <c r="O47" s="18"/>
      <c r="P47" s="17"/>
      <c r="Q47" s="41">
        <f t="shared" si="4"/>
        <v>0</v>
      </c>
      <c r="R47" s="18"/>
      <c r="S47" s="17"/>
      <c r="T47" s="41">
        <f t="shared" si="5"/>
        <v>0</v>
      </c>
      <c r="U47" s="32"/>
      <c r="V47" s="17"/>
      <c r="W47" s="41">
        <f t="shared" si="6"/>
        <v>0</v>
      </c>
      <c r="X47" s="18"/>
      <c r="Y47" s="17"/>
      <c r="Z47" s="41">
        <f t="shared" si="7"/>
        <v>0</v>
      </c>
      <c r="AA47" s="18"/>
      <c r="AB47" s="17"/>
      <c r="AC47" s="41">
        <f t="shared" si="8"/>
        <v>0</v>
      </c>
      <c r="AD47" s="18"/>
      <c r="AE47" s="17"/>
      <c r="AF47" s="41">
        <f t="shared" si="9"/>
        <v>0</v>
      </c>
      <c r="AG47" s="18"/>
      <c r="AH47" s="17"/>
      <c r="AI47" s="41">
        <f t="shared" si="10"/>
        <v>0</v>
      </c>
      <c r="AJ47" s="18"/>
      <c r="AK47" s="17"/>
      <c r="AL47" s="41">
        <f t="shared" si="11"/>
        <v>0</v>
      </c>
      <c r="AM47" s="54">
        <f t="shared" si="14"/>
        <v>0</v>
      </c>
      <c r="AN47" s="34"/>
      <c r="AP47" s="1" t="e">
        <f>VLOOKUP(A47,[1]BAJAS!$A$3:$D$45,3,FALSE)</f>
        <v>#N/A</v>
      </c>
    </row>
    <row r="48" spans="1:42" ht="16.5" customHeight="1">
      <c r="A48" s="37">
        <v>11128</v>
      </c>
      <c r="B48" s="35" t="s">
        <v>54</v>
      </c>
      <c r="C48" s="18"/>
      <c r="D48" s="17"/>
      <c r="E48" s="41">
        <f t="shared" si="0"/>
        <v>0</v>
      </c>
      <c r="F48" s="18"/>
      <c r="G48" s="17"/>
      <c r="H48" s="41">
        <f t="shared" si="1"/>
        <v>0</v>
      </c>
      <c r="I48" s="18"/>
      <c r="J48" s="17"/>
      <c r="K48" s="41">
        <f t="shared" si="2"/>
        <v>0</v>
      </c>
      <c r="L48" s="18"/>
      <c r="M48" s="17"/>
      <c r="N48" s="41">
        <f t="shared" si="3"/>
        <v>0</v>
      </c>
      <c r="O48" s="18"/>
      <c r="P48" s="17"/>
      <c r="Q48" s="41">
        <f t="shared" si="4"/>
        <v>0</v>
      </c>
      <c r="R48" s="18"/>
      <c r="S48" s="17"/>
      <c r="T48" s="41">
        <f t="shared" si="5"/>
        <v>0</v>
      </c>
      <c r="U48" s="32"/>
      <c r="V48" s="17"/>
      <c r="W48" s="41">
        <f t="shared" si="6"/>
        <v>0</v>
      </c>
      <c r="X48" s="18"/>
      <c r="Y48" s="17"/>
      <c r="Z48" s="41">
        <f t="shared" si="7"/>
        <v>0</v>
      </c>
      <c r="AA48" s="18"/>
      <c r="AB48" s="17"/>
      <c r="AC48" s="41">
        <f t="shared" si="8"/>
        <v>0</v>
      </c>
      <c r="AD48" s="18"/>
      <c r="AE48" s="17"/>
      <c r="AF48" s="41">
        <f t="shared" si="9"/>
        <v>0</v>
      </c>
      <c r="AG48" s="18"/>
      <c r="AH48" s="17"/>
      <c r="AI48" s="41">
        <f t="shared" si="10"/>
        <v>0</v>
      </c>
      <c r="AJ48" s="18"/>
      <c r="AK48" s="17"/>
      <c r="AL48" s="41">
        <f t="shared" si="11"/>
        <v>0</v>
      </c>
      <c r="AM48" s="54">
        <f t="shared" ref="AM48:AM55" si="15">COUNTIF(C48:AL48,"si")</f>
        <v>0</v>
      </c>
      <c r="AN48" s="34"/>
      <c r="AP48" s="1" t="e">
        <f>VLOOKUP(A48,[1]BAJAS!$A$3:$D$45,3,FALSE)</f>
        <v>#N/A</v>
      </c>
    </row>
    <row r="49" spans="1:42" ht="16.5" customHeight="1">
      <c r="A49" s="43">
        <v>12527</v>
      </c>
      <c r="B49" s="35" t="s">
        <v>55</v>
      </c>
      <c r="C49" s="18"/>
      <c r="D49" s="17"/>
      <c r="E49" s="41">
        <f t="shared" si="0"/>
        <v>0</v>
      </c>
      <c r="F49" s="18"/>
      <c r="G49" s="17"/>
      <c r="H49" s="41">
        <f t="shared" si="1"/>
        <v>0</v>
      </c>
      <c r="I49" s="18"/>
      <c r="J49" s="17"/>
      <c r="K49" s="41">
        <f t="shared" si="2"/>
        <v>0</v>
      </c>
      <c r="L49" s="18"/>
      <c r="M49" s="17"/>
      <c r="N49" s="41">
        <f t="shared" si="3"/>
        <v>0</v>
      </c>
      <c r="O49" s="18"/>
      <c r="P49" s="17"/>
      <c r="Q49" s="41">
        <f t="shared" si="4"/>
        <v>0</v>
      </c>
      <c r="R49" s="18"/>
      <c r="S49" s="17"/>
      <c r="T49" s="41">
        <f t="shared" si="5"/>
        <v>0</v>
      </c>
      <c r="U49" s="32"/>
      <c r="V49" s="17"/>
      <c r="W49" s="41">
        <f t="shared" si="6"/>
        <v>0</v>
      </c>
      <c r="X49" s="18"/>
      <c r="Y49" s="17"/>
      <c r="Z49" s="41">
        <f t="shared" si="7"/>
        <v>0</v>
      </c>
      <c r="AA49" s="18"/>
      <c r="AB49" s="17"/>
      <c r="AC49" s="41">
        <f t="shared" si="8"/>
        <v>0</v>
      </c>
      <c r="AD49" s="18"/>
      <c r="AE49" s="17"/>
      <c r="AF49" s="41">
        <f t="shared" si="9"/>
        <v>0</v>
      </c>
      <c r="AG49" s="18"/>
      <c r="AH49" s="17"/>
      <c r="AI49" s="41">
        <f t="shared" si="10"/>
        <v>0</v>
      </c>
      <c r="AJ49" s="18"/>
      <c r="AK49" s="17"/>
      <c r="AL49" s="41">
        <f t="shared" si="11"/>
        <v>0</v>
      </c>
      <c r="AM49" s="54">
        <f t="shared" si="15"/>
        <v>0</v>
      </c>
      <c r="AN49" s="34"/>
      <c r="AP49" s="1" t="e">
        <f>VLOOKUP(A49,[1]BAJAS!$A$3:$D$45,3,FALSE)</f>
        <v>#N/A</v>
      </c>
    </row>
    <row r="50" spans="1:42" ht="16.5" customHeight="1">
      <c r="A50" s="37">
        <v>12271</v>
      </c>
      <c r="B50" s="35" t="s">
        <v>56</v>
      </c>
      <c r="C50" s="18"/>
      <c r="D50" s="17"/>
      <c r="E50" s="41">
        <f t="shared" si="0"/>
        <v>0</v>
      </c>
      <c r="F50" s="18"/>
      <c r="G50" s="17"/>
      <c r="H50" s="41">
        <f t="shared" si="1"/>
        <v>0</v>
      </c>
      <c r="I50" s="18"/>
      <c r="J50" s="17"/>
      <c r="K50" s="41">
        <f t="shared" si="2"/>
        <v>0</v>
      </c>
      <c r="L50" s="18"/>
      <c r="M50" s="17"/>
      <c r="N50" s="41">
        <f t="shared" si="3"/>
        <v>0</v>
      </c>
      <c r="O50" s="18"/>
      <c r="P50" s="17"/>
      <c r="Q50" s="41">
        <f t="shared" si="4"/>
        <v>0</v>
      </c>
      <c r="R50" s="18"/>
      <c r="S50" s="17"/>
      <c r="T50" s="41">
        <f t="shared" si="5"/>
        <v>0</v>
      </c>
      <c r="U50" s="32"/>
      <c r="V50" s="17"/>
      <c r="W50" s="41">
        <f t="shared" si="6"/>
        <v>0</v>
      </c>
      <c r="X50" s="18"/>
      <c r="Y50" s="17"/>
      <c r="Z50" s="41">
        <f t="shared" si="7"/>
        <v>0</v>
      </c>
      <c r="AA50" s="18"/>
      <c r="AB50" s="17"/>
      <c r="AC50" s="41">
        <f t="shared" si="8"/>
        <v>0</v>
      </c>
      <c r="AD50" s="18"/>
      <c r="AE50" s="17"/>
      <c r="AF50" s="41">
        <f t="shared" si="9"/>
        <v>0</v>
      </c>
      <c r="AG50" s="18"/>
      <c r="AH50" s="17"/>
      <c r="AI50" s="41">
        <f t="shared" si="10"/>
        <v>0</v>
      </c>
      <c r="AJ50" s="18"/>
      <c r="AK50" s="17"/>
      <c r="AL50" s="41">
        <f t="shared" si="11"/>
        <v>0</v>
      </c>
      <c r="AM50" s="54">
        <f t="shared" si="15"/>
        <v>0</v>
      </c>
      <c r="AN50" s="34"/>
      <c r="AP50" s="1" t="e">
        <f>VLOOKUP(A50,[1]BAJAS!$A$3:$D$45,3,FALSE)</f>
        <v>#N/A</v>
      </c>
    </row>
    <row r="51" spans="1:42" ht="16.5" customHeight="1">
      <c r="A51" s="37">
        <v>8855</v>
      </c>
      <c r="B51" s="35" t="s">
        <v>57</v>
      </c>
      <c r="C51" s="18"/>
      <c r="D51" s="17"/>
      <c r="E51" s="41">
        <f t="shared" si="0"/>
        <v>0</v>
      </c>
      <c r="F51" s="18"/>
      <c r="G51" s="17"/>
      <c r="H51" s="41">
        <f t="shared" si="1"/>
        <v>0</v>
      </c>
      <c r="I51" s="18"/>
      <c r="J51" s="17"/>
      <c r="K51" s="41">
        <f t="shared" si="2"/>
        <v>0</v>
      </c>
      <c r="L51" s="18"/>
      <c r="M51" s="17"/>
      <c r="N51" s="41">
        <f t="shared" si="3"/>
        <v>0</v>
      </c>
      <c r="O51" s="18"/>
      <c r="P51" s="17"/>
      <c r="Q51" s="41">
        <f t="shared" si="4"/>
        <v>0</v>
      </c>
      <c r="R51" s="18"/>
      <c r="S51" s="17"/>
      <c r="T51" s="41">
        <f t="shared" si="5"/>
        <v>0</v>
      </c>
      <c r="U51" s="32"/>
      <c r="V51" s="17"/>
      <c r="W51" s="41">
        <f t="shared" si="6"/>
        <v>0</v>
      </c>
      <c r="X51" s="18"/>
      <c r="Y51" s="17"/>
      <c r="Z51" s="41">
        <f t="shared" si="7"/>
        <v>0</v>
      </c>
      <c r="AA51" s="18"/>
      <c r="AB51" s="17"/>
      <c r="AC51" s="41">
        <f t="shared" si="8"/>
        <v>0</v>
      </c>
      <c r="AD51" s="18"/>
      <c r="AE51" s="17"/>
      <c r="AF51" s="41">
        <f t="shared" si="9"/>
        <v>0</v>
      </c>
      <c r="AG51" s="18"/>
      <c r="AH51" s="17"/>
      <c r="AI51" s="41">
        <f t="shared" si="10"/>
        <v>0</v>
      </c>
      <c r="AJ51" s="18"/>
      <c r="AK51" s="17"/>
      <c r="AL51" s="41">
        <f t="shared" si="11"/>
        <v>0</v>
      </c>
      <c r="AM51" s="54">
        <f t="shared" si="15"/>
        <v>0</v>
      </c>
      <c r="AN51" s="34"/>
      <c r="AP51" s="1" t="e">
        <f>VLOOKUP(A51,[1]BAJAS!$A$3:$D$45,3,FALSE)</f>
        <v>#N/A</v>
      </c>
    </row>
    <row r="52" spans="1:42" ht="16.5" customHeight="1">
      <c r="A52" s="42">
        <v>12787</v>
      </c>
      <c r="B52" s="35" t="s">
        <v>58</v>
      </c>
      <c r="C52" s="18"/>
      <c r="D52" s="17"/>
      <c r="E52" s="41">
        <f t="shared" si="0"/>
        <v>0</v>
      </c>
      <c r="F52" s="18"/>
      <c r="G52" s="17"/>
      <c r="H52" s="41">
        <f t="shared" si="1"/>
        <v>0</v>
      </c>
      <c r="I52" s="18"/>
      <c r="J52" s="17"/>
      <c r="K52" s="41">
        <f t="shared" si="2"/>
        <v>0</v>
      </c>
      <c r="L52" s="18"/>
      <c r="M52" s="17"/>
      <c r="N52" s="41">
        <f t="shared" si="3"/>
        <v>0</v>
      </c>
      <c r="O52" s="18"/>
      <c r="P52" s="17"/>
      <c r="Q52" s="41">
        <f t="shared" si="4"/>
        <v>0</v>
      </c>
      <c r="R52" s="18"/>
      <c r="S52" s="17"/>
      <c r="T52" s="41">
        <f t="shared" si="5"/>
        <v>0</v>
      </c>
      <c r="U52" s="32"/>
      <c r="V52" s="17"/>
      <c r="W52" s="41">
        <f t="shared" si="6"/>
        <v>0</v>
      </c>
      <c r="X52" s="18"/>
      <c r="Y52" s="17"/>
      <c r="Z52" s="41">
        <f t="shared" si="7"/>
        <v>0</v>
      </c>
      <c r="AA52" s="18"/>
      <c r="AB52" s="17"/>
      <c r="AC52" s="41">
        <f t="shared" si="8"/>
        <v>0</v>
      </c>
      <c r="AD52" s="18"/>
      <c r="AE52" s="17"/>
      <c r="AF52" s="41">
        <f t="shared" si="9"/>
        <v>0</v>
      </c>
      <c r="AG52" s="18"/>
      <c r="AH52" s="17"/>
      <c r="AI52" s="41">
        <f t="shared" si="10"/>
        <v>0</v>
      </c>
      <c r="AJ52" s="18"/>
      <c r="AK52" s="17"/>
      <c r="AL52" s="41">
        <f t="shared" si="11"/>
        <v>0</v>
      </c>
      <c r="AM52" s="54">
        <f t="shared" si="15"/>
        <v>0</v>
      </c>
      <c r="AN52" s="34"/>
      <c r="AP52" s="1" t="e">
        <f>VLOOKUP(A52,[1]BAJAS!$A$3:$D$45,3,FALSE)</f>
        <v>#N/A</v>
      </c>
    </row>
    <row r="53" spans="1:42" ht="16.5" customHeight="1">
      <c r="A53" s="42">
        <v>12788</v>
      </c>
      <c r="B53" s="35" t="s">
        <v>59</v>
      </c>
      <c r="C53" s="18"/>
      <c r="D53" s="17"/>
      <c r="E53" s="41">
        <f t="shared" si="0"/>
        <v>0</v>
      </c>
      <c r="F53" s="18"/>
      <c r="G53" s="17"/>
      <c r="H53" s="41">
        <f t="shared" si="1"/>
        <v>0</v>
      </c>
      <c r="I53" s="18"/>
      <c r="J53" s="17"/>
      <c r="K53" s="41">
        <f t="shared" si="2"/>
        <v>0</v>
      </c>
      <c r="L53" s="18"/>
      <c r="M53" s="17"/>
      <c r="N53" s="41">
        <f t="shared" si="3"/>
        <v>0</v>
      </c>
      <c r="O53" s="18"/>
      <c r="P53" s="17"/>
      <c r="Q53" s="41">
        <f t="shared" si="4"/>
        <v>0</v>
      </c>
      <c r="R53" s="18"/>
      <c r="S53" s="17"/>
      <c r="T53" s="41">
        <f t="shared" si="5"/>
        <v>0</v>
      </c>
      <c r="U53" s="32"/>
      <c r="V53" s="17"/>
      <c r="W53" s="41">
        <f t="shared" si="6"/>
        <v>0</v>
      </c>
      <c r="X53" s="18"/>
      <c r="Y53" s="17"/>
      <c r="Z53" s="41">
        <f t="shared" si="7"/>
        <v>0</v>
      </c>
      <c r="AA53" s="18"/>
      <c r="AB53" s="17"/>
      <c r="AC53" s="41">
        <f t="shared" si="8"/>
        <v>0</v>
      </c>
      <c r="AD53" s="18"/>
      <c r="AE53" s="17"/>
      <c r="AF53" s="41">
        <f t="shared" si="9"/>
        <v>0</v>
      </c>
      <c r="AG53" s="18"/>
      <c r="AH53" s="17"/>
      <c r="AI53" s="41">
        <f t="shared" si="10"/>
        <v>0</v>
      </c>
      <c r="AJ53" s="18"/>
      <c r="AK53" s="17"/>
      <c r="AL53" s="41">
        <f t="shared" si="11"/>
        <v>0</v>
      </c>
      <c r="AM53" s="54">
        <f t="shared" si="15"/>
        <v>0</v>
      </c>
      <c r="AN53" s="34"/>
      <c r="AP53" s="1" t="e">
        <f>VLOOKUP(A53,[1]BAJAS!$A$3:$D$45,3,FALSE)</f>
        <v>#N/A</v>
      </c>
    </row>
    <row r="54" spans="1:42" ht="16.5" customHeight="1">
      <c r="A54" s="47">
        <v>12629</v>
      </c>
      <c r="B54" s="35" t="s">
        <v>60</v>
      </c>
      <c r="C54" s="18"/>
      <c r="D54" s="17"/>
      <c r="E54" s="41">
        <f t="shared" si="0"/>
        <v>0</v>
      </c>
      <c r="F54" s="18"/>
      <c r="G54" s="17"/>
      <c r="H54" s="41">
        <f t="shared" si="1"/>
        <v>0</v>
      </c>
      <c r="I54" s="18"/>
      <c r="J54" s="17"/>
      <c r="K54" s="41">
        <f t="shared" si="2"/>
        <v>0</v>
      </c>
      <c r="L54" s="18"/>
      <c r="M54" s="17"/>
      <c r="N54" s="41">
        <f t="shared" si="3"/>
        <v>0</v>
      </c>
      <c r="O54" s="18"/>
      <c r="P54" s="17"/>
      <c r="Q54" s="41">
        <f t="shared" si="4"/>
        <v>0</v>
      </c>
      <c r="R54" s="18"/>
      <c r="S54" s="17"/>
      <c r="T54" s="41">
        <f t="shared" si="5"/>
        <v>0</v>
      </c>
      <c r="U54" s="32"/>
      <c r="V54" s="17"/>
      <c r="W54" s="41">
        <f t="shared" si="6"/>
        <v>0</v>
      </c>
      <c r="X54" s="18"/>
      <c r="Y54" s="17"/>
      <c r="Z54" s="41">
        <f t="shared" si="7"/>
        <v>0</v>
      </c>
      <c r="AA54" s="18"/>
      <c r="AB54" s="17"/>
      <c r="AC54" s="41">
        <f t="shared" si="8"/>
        <v>0</v>
      </c>
      <c r="AD54" s="18"/>
      <c r="AE54" s="17"/>
      <c r="AF54" s="41">
        <f t="shared" si="9"/>
        <v>0</v>
      </c>
      <c r="AG54" s="18"/>
      <c r="AH54" s="17"/>
      <c r="AI54" s="41">
        <f t="shared" si="10"/>
        <v>0</v>
      </c>
      <c r="AJ54" s="18"/>
      <c r="AK54" s="17"/>
      <c r="AL54" s="41">
        <f t="shared" si="11"/>
        <v>0</v>
      </c>
      <c r="AM54" s="54">
        <f t="shared" si="15"/>
        <v>0</v>
      </c>
      <c r="AN54" s="34"/>
      <c r="AP54" s="1" t="e">
        <f>VLOOKUP(A54,[1]BAJAS!$A$3:$D$45,3,FALSE)</f>
        <v>#N/A</v>
      </c>
    </row>
    <row r="55" spans="1:42" ht="16.5" customHeight="1">
      <c r="A55" s="47">
        <v>12637</v>
      </c>
      <c r="B55" s="35" t="s">
        <v>61</v>
      </c>
      <c r="C55" s="18"/>
      <c r="D55" s="17"/>
      <c r="E55" s="41">
        <f t="shared" si="0"/>
        <v>0</v>
      </c>
      <c r="F55" s="18"/>
      <c r="G55" s="17"/>
      <c r="H55" s="41">
        <f t="shared" si="1"/>
        <v>0</v>
      </c>
      <c r="I55" s="18"/>
      <c r="J55" s="17"/>
      <c r="K55" s="41">
        <f t="shared" si="2"/>
        <v>0</v>
      </c>
      <c r="L55" s="18"/>
      <c r="M55" s="17"/>
      <c r="N55" s="41">
        <f t="shared" si="3"/>
        <v>0</v>
      </c>
      <c r="O55" s="18"/>
      <c r="P55" s="17"/>
      <c r="Q55" s="41">
        <f t="shared" si="4"/>
        <v>0</v>
      </c>
      <c r="R55" s="18"/>
      <c r="S55" s="17"/>
      <c r="T55" s="41">
        <f t="shared" si="5"/>
        <v>0</v>
      </c>
      <c r="U55" s="32"/>
      <c r="V55" s="17"/>
      <c r="W55" s="41">
        <f t="shared" si="6"/>
        <v>0</v>
      </c>
      <c r="X55" s="18"/>
      <c r="Y55" s="17"/>
      <c r="Z55" s="41">
        <f t="shared" si="7"/>
        <v>0</v>
      </c>
      <c r="AA55" s="18"/>
      <c r="AB55" s="17"/>
      <c r="AC55" s="41">
        <f t="shared" si="8"/>
        <v>0</v>
      </c>
      <c r="AD55" s="18"/>
      <c r="AE55" s="17"/>
      <c r="AF55" s="41">
        <f t="shared" si="9"/>
        <v>0</v>
      </c>
      <c r="AG55" s="18"/>
      <c r="AH55" s="17"/>
      <c r="AI55" s="41">
        <f t="shared" si="10"/>
        <v>0</v>
      </c>
      <c r="AJ55" s="18"/>
      <c r="AK55" s="17"/>
      <c r="AL55" s="41">
        <f t="shared" si="11"/>
        <v>0</v>
      </c>
      <c r="AM55" s="54">
        <f t="shared" si="15"/>
        <v>0</v>
      </c>
      <c r="AN55" s="34"/>
      <c r="AP55" s="1" t="e">
        <f>VLOOKUP(A55,[1]BAJAS!$A$3:$D$45,3,FALSE)</f>
        <v>#N/A</v>
      </c>
    </row>
    <row r="56" spans="1:42" ht="16.5" customHeight="1">
      <c r="A56" s="47">
        <v>12628</v>
      </c>
      <c r="B56" s="35" t="s">
        <v>62</v>
      </c>
      <c r="C56" s="18"/>
      <c r="D56" s="17"/>
      <c r="E56" s="41">
        <f t="shared" si="0"/>
        <v>0</v>
      </c>
      <c r="F56" s="18"/>
      <c r="G56" s="17"/>
      <c r="H56" s="41">
        <f t="shared" si="1"/>
        <v>0</v>
      </c>
      <c r="I56" s="18"/>
      <c r="J56" s="17"/>
      <c r="K56" s="41">
        <f t="shared" si="2"/>
        <v>0</v>
      </c>
      <c r="L56" s="18"/>
      <c r="M56" s="17"/>
      <c r="N56" s="41">
        <f t="shared" si="3"/>
        <v>0</v>
      </c>
      <c r="O56" s="18"/>
      <c r="P56" s="17"/>
      <c r="Q56" s="41">
        <f t="shared" si="4"/>
        <v>0</v>
      </c>
      <c r="R56" s="18"/>
      <c r="S56" s="17"/>
      <c r="T56" s="41">
        <f t="shared" si="5"/>
        <v>0</v>
      </c>
      <c r="U56" s="32"/>
      <c r="V56" s="17"/>
      <c r="W56" s="41">
        <f t="shared" si="6"/>
        <v>0</v>
      </c>
      <c r="X56" s="18"/>
      <c r="Y56" s="17"/>
      <c r="Z56" s="41">
        <f t="shared" si="7"/>
        <v>0</v>
      </c>
      <c r="AA56" s="18"/>
      <c r="AB56" s="17"/>
      <c r="AC56" s="41">
        <f t="shared" si="8"/>
        <v>0</v>
      </c>
      <c r="AD56" s="18"/>
      <c r="AE56" s="17"/>
      <c r="AF56" s="41">
        <f t="shared" si="9"/>
        <v>0</v>
      </c>
      <c r="AG56" s="18"/>
      <c r="AH56" s="17"/>
      <c r="AI56" s="41">
        <f t="shared" si="10"/>
        <v>0</v>
      </c>
      <c r="AJ56" s="18"/>
      <c r="AK56" s="17"/>
      <c r="AL56" s="41">
        <f t="shared" si="11"/>
        <v>0</v>
      </c>
      <c r="AM56" s="54">
        <f>COUNTIF(C56:AL56,"si")</f>
        <v>0</v>
      </c>
      <c r="AN56" s="34"/>
      <c r="AP56" s="1" t="e">
        <f>VLOOKUP(A56,[1]BAJAS!$A$3:$D$45,3,FALSE)</f>
        <v>#N/A</v>
      </c>
    </row>
    <row r="57" spans="1:42" ht="16.5" customHeight="1">
      <c r="A57" s="37">
        <v>11125</v>
      </c>
      <c r="B57" s="35" t="s">
        <v>63</v>
      </c>
      <c r="C57" s="18"/>
      <c r="D57" s="17"/>
      <c r="E57" s="41">
        <f t="shared" si="0"/>
        <v>0</v>
      </c>
      <c r="F57" s="18"/>
      <c r="G57" s="17"/>
      <c r="H57" s="41">
        <f t="shared" si="1"/>
        <v>0</v>
      </c>
      <c r="I57" s="18"/>
      <c r="J57" s="17"/>
      <c r="K57" s="41">
        <f t="shared" si="2"/>
        <v>0</v>
      </c>
      <c r="L57" s="18"/>
      <c r="M57" s="17"/>
      <c r="N57" s="41">
        <f t="shared" si="3"/>
        <v>0</v>
      </c>
      <c r="O57" s="18"/>
      <c r="P57" s="17"/>
      <c r="Q57" s="41">
        <f t="shared" si="4"/>
        <v>0</v>
      </c>
      <c r="R57" s="18"/>
      <c r="S57" s="17"/>
      <c r="T57" s="41">
        <f t="shared" si="5"/>
        <v>0</v>
      </c>
      <c r="U57" s="32"/>
      <c r="V57" s="17"/>
      <c r="W57" s="41">
        <f t="shared" si="6"/>
        <v>0</v>
      </c>
      <c r="X57" s="18"/>
      <c r="Y57" s="17"/>
      <c r="Z57" s="41">
        <f t="shared" si="7"/>
        <v>0</v>
      </c>
      <c r="AA57" s="18"/>
      <c r="AB57" s="17"/>
      <c r="AC57" s="41">
        <f t="shared" si="8"/>
        <v>0</v>
      </c>
      <c r="AD57" s="18"/>
      <c r="AE57" s="17"/>
      <c r="AF57" s="41">
        <f t="shared" si="9"/>
        <v>0</v>
      </c>
      <c r="AG57" s="18"/>
      <c r="AH57" s="17"/>
      <c r="AI57" s="41">
        <f t="shared" si="10"/>
        <v>0</v>
      </c>
      <c r="AJ57" s="18"/>
      <c r="AK57" s="17"/>
      <c r="AL57" s="41">
        <f t="shared" si="11"/>
        <v>0</v>
      </c>
      <c r="AM57" s="54">
        <f>COUNTIF(C57:AL57,"si")</f>
        <v>0</v>
      </c>
      <c r="AN57" s="34"/>
      <c r="AP57" s="1" t="e">
        <f>VLOOKUP(A57,[1]BAJAS!$A$3:$D$45,3,FALSE)</f>
        <v>#N/A</v>
      </c>
    </row>
    <row r="58" spans="1:42" ht="16.5" customHeight="1">
      <c r="A58" s="42">
        <v>12484</v>
      </c>
      <c r="B58" s="35" t="s">
        <v>64</v>
      </c>
      <c r="C58" s="18"/>
      <c r="D58" s="17"/>
      <c r="E58" s="41">
        <f t="shared" si="0"/>
        <v>0</v>
      </c>
      <c r="F58" s="18"/>
      <c r="G58" s="17"/>
      <c r="H58" s="41">
        <f t="shared" si="1"/>
        <v>0</v>
      </c>
      <c r="I58" s="18"/>
      <c r="J58" s="17"/>
      <c r="K58" s="41">
        <f t="shared" si="2"/>
        <v>0</v>
      </c>
      <c r="L58" s="18"/>
      <c r="M58" s="17"/>
      <c r="N58" s="41">
        <f t="shared" si="3"/>
        <v>0</v>
      </c>
      <c r="O58" s="18"/>
      <c r="P58" s="17"/>
      <c r="Q58" s="41">
        <f t="shared" si="4"/>
        <v>0</v>
      </c>
      <c r="R58" s="18"/>
      <c r="S58" s="17"/>
      <c r="T58" s="41">
        <f t="shared" si="5"/>
        <v>0</v>
      </c>
      <c r="U58" s="32"/>
      <c r="V58" s="17"/>
      <c r="W58" s="41">
        <f t="shared" si="6"/>
        <v>0</v>
      </c>
      <c r="X58" s="18"/>
      <c r="Y58" s="17"/>
      <c r="Z58" s="41">
        <f t="shared" si="7"/>
        <v>0</v>
      </c>
      <c r="AA58" s="18"/>
      <c r="AB58" s="17"/>
      <c r="AC58" s="41">
        <f t="shared" si="8"/>
        <v>0</v>
      </c>
      <c r="AD58" s="18"/>
      <c r="AE58" s="17"/>
      <c r="AF58" s="41">
        <f t="shared" si="9"/>
        <v>0</v>
      </c>
      <c r="AG58" s="18"/>
      <c r="AH58" s="17"/>
      <c r="AI58" s="41">
        <f t="shared" si="10"/>
        <v>0</v>
      </c>
      <c r="AJ58" s="18"/>
      <c r="AK58" s="17"/>
      <c r="AL58" s="41">
        <f t="shared" si="11"/>
        <v>0</v>
      </c>
      <c r="AM58" s="54">
        <f>COUNTIF(C58:AL58,"si")</f>
        <v>0</v>
      </c>
      <c r="AN58" s="34"/>
      <c r="AP58" s="1" t="e">
        <f>VLOOKUP(A58,[1]BAJAS!$A$3:$D$45,3,FALSE)</f>
        <v>#N/A</v>
      </c>
    </row>
    <row r="59" spans="1:42" ht="16.5" customHeight="1">
      <c r="A59" s="42">
        <v>12791</v>
      </c>
      <c r="B59" s="35" t="s">
        <v>65</v>
      </c>
      <c r="C59" s="18"/>
      <c r="D59" s="17"/>
      <c r="E59" s="41">
        <f t="shared" si="0"/>
        <v>0</v>
      </c>
      <c r="F59" s="18"/>
      <c r="G59" s="17"/>
      <c r="H59" s="41">
        <f t="shared" si="1"/>
        <v>0</v>
      </c>
      <c r="I59" s="18"/>
      <c r="J59" s="17"/>
      <c r="K59" s="41">
        <f t="shared" si="2"/>
        <v>0</v>
      </c>
      <c r="L59" s="18"/>
      <c r="M59" s="17"/>
      <c r="N59" s="41">
        <f t="shared" si="3"/>
        <v>0</v>
      </c>
      <c r="O59" s="18"/>
      <c r="P59" s="17"/>
      <c r="Q59" s="41">
        <f t="shared" si="4"/>
        <v>0</v>
      </c>
      <c r="R59" s="18"/>
      <c r="S59" s="17"/>
      <c r="T59" s="41">
        <f t="shared" si="5"/>
        <v>0</v>
      </c>
      <c r="U59" s="32"/>
      <c r="V59" s="17"/>
      <c r="W59" s="41">
        <f t="shared" si="6"/>
        <v>0</v>
      </c>
      <c r="X59" s="18"/>
      <c r="Y59" s="17"/>
      <c r="Z59" s="41">
        <f t="shared" si="7"/>
        <v>0</v>
      </c>
      <c r="AA59" s="18"/>
      <c r="AB59" s="17"/>
      <c r="AC59" s="41">
        <f t="shared" si="8"/>
        <v>0</v>
      </c>
      <c r="AD59" s="18"/>
      <c r="AE59" s="17"/>
      <c r="AF59" s="41">
        <f t="shared" si="9"/>
        <v>0</v>
      </c>
      <c r="AG59" s="18"/>
      <c r="AH59" s="17"/>
      <c r="AI59" s="41">
        <f t="shared" si="10"/>
        <v>0</v>
      </c>
      <c r="AJ59" s="18"/>
      <c r="AK59" s="17"/>
      <c r="AL59" s="41">
        <f t="shared" si="11"/>
        <v>0</v>
      </c>
      <c r="AM59" s="54">
        <f>COUNTIF(C59:AL59,"si")</f>
        <v>0</v>
      </c>
      <c r="AN59" s="34"/>
      <c r="AP59" s="1" t="e">
        <f>VLOOKUP(A59,[1]BAJAS!$A$3:$D$45,3,FALSE)</f>
        <v>#N/A</v>
      </c>
    </row>
    <row r="60" spans="1:42" ht="16.5" customHeight="1">
      <c r="A60" s="47">
        <v>12639</v>
      </c>
      <c r="B60" s="35" t="s">
        <v>66</v>
      </c>
      <c r="C60" s="18"/>
      <c r="D60" s="17"/>
      <c r="E60" s="41">
        <f t="shared" si="0"/>
        <v>0</v>
      </c>
      <c r="F60" s="18"/>
      <c r="G60" s="17"/>
      <c r="H60" s="41">
        <f t="shared" si="1"/>
        <v>0</v>
      </c>
      <c r="I60" s="18"/>
      <c r="J60" s="17"/>
      <c r="K60" s="41">
        <f t="shared" si="2"/>
        <v>0</v>
      </c>
      <c r="L60" s="18"/>
      <c r="M60" s="17"/>
      <c r="N60" s="41">
        <f t="shared" si="3"/>
        <v>0</v>
      </c>
      <c r="O60" s="18"/>
      <c r="P60" s="17"/>
      <c r="Q60" s="41">
        <f t="shared" si="4"/>
        <v>0</v>
      </c>
      <c r="R60" s="18"/>
      <c r="S60" s="17"/>
      <c r="T60" s="41">
        <f t="shared" si="5"/>
        <v>0</v>
      </c>
      <c r="U60" s="32"/>
      <c r="V60" s="17"/>
      <c r="W60" s="41">
        <f t="shared" si="6"/>
        <v>0</v>
      </c>
      <c r="X60" s="18"/>
      <c r="Y60" s="17"/>
      <c r="Z60" s="41">
        <f t="shared" si="7"/>
        <v>0</v>
      </c>
      <c r="AA60" s="18"/>
      <c r="AB60" s="17"/>
      <c r="AC60" s="41">
        <f t="shared" si="8"/>
        <v>0</v>
      </c>
      <c r="AD60" s="18"/>
      <c r="AE60" s="17"/>
      <c r="AF60" s="41">
        <f t="shared" si="9"/>
        <v>0</v>
      </c>
      <c r="AG60" s="18"/>
      <c r="AH60" s="17"/>
      <c r="AI60" s="41">
        <f t="shared" si="10"/>
        <v>0</v>
      </c>
      <c r="AJ60" s="18"/>
      <c r="AK60" s="17"/>
      <c r="AL60" s="41">
        <f t="shared" si="11"/>
        <v>0</v>
      </c>
      <c r="AM60" s="54">
        <f>COUNTIF(C60:AL60,"si")</f>
        <v>0</v>
      </c>
      <c r="AN60" s="34"/>
      <c r="AP60" s="1" t="e">
        <f>VLOOKUP(A60,[1]BAJAS!$A$3:$D$45,3,FALSE)</f>
        <v>#N/A</v>
      </c>
    </row>
    <row r="61" spans="1:42" ht="16.5" customHeight="1">
      <c r="A61" s="37">
        <v>11501</v>
      </c>
      <c r="B61" s="35" t="s">
        <v>67</v>
      </c>
      <c r="C61" s="18"/>
      <c r="D61" s="17"/>
      <c r="E61" s="41">
        <f t="shared" si="0"/>
        <v>0</v>
      </c>
      <c r="F61" s="18"/>
      <c r="G61" s="17"/>
      <c r="H61" s="41">
        <f t="shared" si="1"/>
        <v>0</v>
      </c>
      <c r="I61" s="18"/>
      <c r="J61" s="17"/>
      <c r="K61" s="41">
        <f t="shared" si="2"/>
        <v>0</v>
      </c>
      <c r="L61" s="18"/>
      <c r="M61" s="17"/>
      <c r="N61" s="41">
        <f t="shared" si="3"/>
        <v>0</v>
      </c>
      <c r="O61" s="18"/>
      <c r="P61" s="17"/>
      <c r="Q61" s="41">
        <f t="shared" si="4"/>
        <v>0</v>
      </c>
      <c r="R61" s="18"/>
      <c r="S61" s="17"/>
      <c r="T61" s="41">
        <f t="shared" si="5"/>
        <v>0</v>
      </c>
      <c r="U61" s="32"/>
      <c r="V61" s="17"/>
      <c r="W61" s="41">
        <f t="shared" si="6"/>
        <v>0</v>
      </c>
      <c r="X61" s="18"/>
      <c r="Y61" s="17"/>
      <c r="Z61" s="41">
        <f t="shared" si="7"/>
        <v>0</v>
      </c>
      <c r="AA61" s="18"/>
      <c r="AB61" s="17"/>
      <c r="AC61" s="41">
        <f t="shared" si="8"/>
        <v>0</v>
      </c>
      <c r="AD61" s="18"/>
      <c r="AE61" s="17"/>
      <c r="AF61" s="41">
        <f t="shared" si="9"/>
        <v>0</v>
      </c>
      <c r="AG61" s="18"/>
      <c r="AH61" s="17"/>
      <c r="AI61" s="41">
        <f t="shared" si="10"/>
        <v>0</v>
      </c>
      <c r="AJ61" s="18"/>
      <c r="AK61" s="17"/>
      <c r="AL61" s="41">
        <f t="shared" si="11"/>
        <v>0</v>
      </c>
      <c r="AM61" s="54">
        <f t="shared" ref="AM61:AM67" si="16">COUNTIF(C61:AL61,"si")</f>
        <v>0</v>
      </c>
      <c r="AN61" s="34"/>
      <c r="AP61" s="1" t="e">
        <f>VLOOKUP(A61,[1]BAJAS!$A$3:$D$45,3,FALSE)</f>
        <v>#N/A</v>
      </c>
    </row>
    <row r="62" spans="1:42" ht="16.5" customHeight="1">
      <c r="A62" s="42">
        <v>12789</v>
      </c>
      <c r="B62" s="35" t="s">
        <v>68</v>
      </c>
      <c r="C62" s="18"/>
      <c r="D62" s="17"/>
      <c r="E62" s="41">
        <f t="shared" si="0"/>
        <v>0</v>
      </c>
      <c r="F62" s="18"/>
      <c r="G62" s="17"/>
      <c r="H62" s="41">
        <f t="shared" si="1"/>
        <v>0</v>
      </c>
      <c r="I62" s="18"/>
      <c r="J62" s="17"/>
      <c r="K62" s="41">
        <f t="shared" si="2"/>
        <v>0</v>
      </c>
      <c r="L62" s="18"/>
      <c r="M62" s="17"/>
      <c r="N62" s="41">
        <f t="shared" si="3"/>
        <v>0</v>
      </c>
      <c r="O62" s="18"/>
      <c r="P62" s="17"/>
      <c r="Q62" s="41">
        <f t="shared" si="4"/>
        <v>0</v>
      </c>
      <c r="R62" s="18"/>
      <c r="S62" s="17"/>
      <c r="T62" s="41">
        <f t="shared" si="5"/>
        <v>0</v>
      </c>
      <c r="U62" s="32"/>
      <c r="V62" s="17"/>
      <c r="W62" s="41">
        <f t="shared" si="6"/>
        <v>0</v>
      </c>
      <c r="X62" s="18"/>
      <c r="Y62" s="17"/>
      <c r="Z62" s="41">
        <f t="shared" si="7"/>
        <v>0</v>
      </c>
      <c r="AA62" s="18"/>
      <c r="AB62" s="17"/>
      <c r="AC62" s="41">
        <f t="shared" si="8"/>
        <v>0</v>
      </c>
      <c r="AD62" s="18"/>
      <c r="AE62" s="17"/>
      <c r="AF62" s="41">
        <f t="shared" si="9"/>
        <v>0</v>
      </c>
      <c r="AG62" s="18"/>
      <c r="AH62" s="17"/>
      <c r="AI62" s="41">
        <f t="shared" si="10"/>
        <v>0</v>
      </c>
      <c r="AJ62" s="18"/>
      <c r="AK62" s="17"/>
      <c r="AL62" s="41">
        <f t="shared" si="11"/>
        <v>0</v>
      </c>
      <c r="AM62" s="54">
        <f t="shared" si="16"/>
        <v>0</v>
      </c>
      <c r="AN62" s="34"/>
      <c r="AP62" s="1" t="e">
        <f>VLOOKUP(A62,[1]BAJAS!$A$3:$D$45,3,FALSE)</f>
        <v>#N/A</v>
      </c>
    </row>
    <row r="63" spans="1:42" ht="16.5" customHeight="1">
      <c r="A63" s="42">
        <v>12797</v>
      </c>
      <c r="B63" s="35" t="s">
        <v>69</v>
      </c>
      <c r="C63" s="18"/>
      <c r="D63" s="17"/>
      <c r="E63" s="41">
        <f t="shared" si="0"/>
        <v>0</v>
      </c>
      <c r="F63" s="18"/>
      <c r="G63" s="17"/>
      <c r="H63" s="41">
        <f t="shared" si="1"/>
        <v>0</v>
      </c>
      <c r="I63" s="18"/>
      <c r="J63" s="17"/>
      <c r="K63" s="41">
        <f t="shared" si="2"/>
        <v>0</v>
      </c>
      <c r="L63" s="18"/>
      <c r="M63" s="17"/>
      <c r="N63" s="41">
        <f t="shared" si="3"/>
        <v>0</v>
      </c>
      <c r="O63" s="18"/>
      <c r="P63" s="17"/>
      <c r="Q63" s="41">
        <f t="shared" si="4"/>
        <v>0</v>
      </c>
      <c r="R63" s="18"/>
      <c r="S63" s="17"/>
      <c r="T63" s="41">
        <f t="shared" si="5"/>
        <v>0</v>
      </c>
      <c r="U63" s="32"/>
      <c r="V63" s="17"/>
      <c r="W63" s="41">
        <f t="shared" si="6"/>
        <v>0</v>
      </c>
      <c r="X63" s="18"/>
      <c r="Y63" s="17"/>
      <c r="Z63" s="41">
        <f t="shared" si="7"/>
        <v>0</v>
      </c>
      <c r="AA63" s="18"/>
      <c r="AB63" s="17"/>
      <c r="AC63" s="41">
        <f t="shared" si="8"/>
        <v>0</v>
      </c>
      <c r="AD63" s="18"/>
      <c r="AE63" s="17"/>
      <c r="AF63" s="41">
        <f t="shared" si="9"/>
        <v>0</v>
      </c>
      <c r="AG63" s="18"/>
      <c r="AH63" s="17"/>
      <c r="AI63" s="41">
        <f t="shared" si="10"/>
        <v>0</v>
      </c>
      <c r="AJ63" s="18"/>
      <c r="AK63" s="17"/>
      <c r="AL63" s="41">
        <f t="shared" si="11"/>
        <v>0</v>
      </c>
      <c r="AM63" s="54">
        <f t="shared" si="16"/>
        <v>0</v>
      </c>
      <c r="AN63" s="34"/>
      <c r="AP63" s="1" t="e">
        <f>VLOOKUP(A63,[1]BAJAS!$A$3:$D$45,3,FALSE)</f>
        <v>#N/A</v>
      </c>
    </row>
    <row r="64" spans="1:42" ht="16.5" customHeight="1">
      <c r="A64" s="37">
        <v>11046</v>
      </c>
      <c r="B64" s="35" t="s">
        <v>70</v>
      </c>
      <c r="C64" s="18"/>
      <c r="D64" s="17"/>
      <c r="E64" s="41">
        <f t="shared" si="0"/>
        <v>0</v>
      </c>
      <c r="F64" s="18"/>
      <c r="G64" s="17"/>
      <c r="H64" s="41">
        <f t="shared" si="1"/>
        <v>0</v>
      </c>
      <c r="I64" s="18"/>
      <c r="J64" s="17"/>
      <c r="K64" s="41">
        <f t="shared" si="2"/>
        <v>0</v>
      </c>
      <c r="L64" s="18"/>
      <c r="M64" s="17"/>
      <c r="N64" s="41">
        <f t="shared" si="3"/>
        <v>0</v>
      </c>
      <c r="O64" s="18"/>
      <c r="P64" s="17"/>
      <c r="Q64" s="41">
        <f t="shared" si="4"/>
        <v>0</v>
      </c>
      <c r="R64" s="18"/>
      <c r="S64" s="17"/>
      <c r="T64" s="41">
        <f t="shared" si="5"/>
        <v>0</v>
      </c>
      <c r="U64" s="32"/>
      <c r="V64" s="17"/>
      <c r="W64" s="41">
        <f t="shared" si="6"/>
        <v>0</v>
      </c>
      <c r="X64" s="18"/>
      <c r="Y64" s="17"/>
      <c r="Z64" s="41">
        <f t="shared" si="7"/>
        <v>0</v>
      </c>
      <c r="AA64" s="18"/>
      <c r="AB64" s="17"/>
      <c r="AC64" s="41">
        <f t="shared" si="8"/>
        <v>0</v>
      </c>
      <c r="AD64" s="18"/>
      <c r="AE64" s="17"/>
      <c r="AF64" s="41">
        <f t="shared" si="9"/>
        <v>0</v>
      </c>
      <c r="AG64" s="18"/>
      <c r="AH64" s="17"/>
      <c r="AI64" s="41">
        <f t="shared" si="10"/>
        <v>0</v>
      </c>
      <c r="AJ64" s="18"/>
      <c r="AK64" s="17"/>
      <c r="AL64" s="41">
        <f t="shared" si="11"/>
        <v>0</v>
      </c>
      <c r="AM64" s="54">
        <f t="shared" si="16"/>
        <v>0</v>
      </c>
      <c r="AN64" s="34"/>
      <c r="AP64" s="1" t="e">
        <f>VLOOKUP(A64,[1]BAJAS!$A$3:$D$45,3,FALSE)</f>
        <v>#N/A</v>
      </c>
    </row>
    <row r="65" spans="1:48" ht="16.5" customHeight="1">
      <c r="A65" s="37">
        <v>12409</v>
      </c>
      <c r="B65" s="35" t="s">
        <v>71</v>
      </c>
      <c r="C65" s="18"/>
      <c r="D65" s="17"/>
      <c r="E65" s="41">
        <f t="shared" si="0"/>
        <v>0</v>
      </c>
      <c r="F65" s="18"/>
      <c r="G65" s="17"/>
      <c r="H65" s="41">
        <f t="shared" si="1"/>
        <v>0</v>
      </c>
      <c r="I65" s="18"/>
      <c r="J65" s="17"/>
      <c r="K65" s="41">
        <f t="shared" si="2"/>
        <v>0</v>
      </c>
      <c r="L65" s="18"/>
      <c r="M65" s="17"/>
      <c r="N65" s="41">
        <f t="shared" si="3"/>
        <v>0</v>
      </c>
      <c r="O65" s="18"/>
      <c r="P65" s="17"/>
      <c r="Q65" s="41">
        <f t="shared" si="4"/>
        <v>0</v>
      </c>
      <c r="R65" s="18"/>
      <c r="S65" s="17"/>
      <c r="T65" s="41">
        <f t="shared" si="5"/>
        <v>0</v>
      </c>
      <c r="U65" s="32"/>
      <c r="V65" s="17"/>
      <c r="W65" s="41">
        <f t="shared" si="6"/>
        <v>0</v>
      </c>
      <c r="X65" s="18"/>
      <c r="Y65" s="17"/>
      <c r="Z65" s="41">
        <f t="shared" si="7"/>
        <v>0</v>
      </c>
      <c r="AA65" s="18"/>
      <c r="AB65" s="17"/>
      <c r="AC65" s="41">
        <f t="shared" si="8"/>
        <v>0</v>
      </c>
      <c r="AD65" s="18"/>
      <c r="AE65" s="17"/>
      <c r="AF65" s="41">
        <f t="shared" si="9"/>
        <v>0</v>
      </c>
      <c r="AG65" s="18"/>
      <c r="AH65" s="17"/>
      <c r="AI65" s="41">
        <f t="shared" si="10"/>
        <v>0</v>
      </c>
      <c r="AJ65" s="18"/>
      <c r="AK65" s="17"/>
      <c r="AL65" s="41">
        <f t="shared" si="11"/>
        <v>0</v>
      </c>
      <c r="AM65" s="54">
        <f t="shared" si="16"/>
        <v>0</v>
      </c>
      <c r="AN65" s="34"/>
      <c r="AP65" s="1" t="e">
        <f>VLOOKUP(A65,[1]BAJAS!$A$3:$D$45,3,FALSE)</f>
        <v>#N/A</v>
      </c>
    </row>
    <row r="66" spans="1:48" ht="16.5" customHeight="1">
      <c r="A66" s="43">
        <v>12524</v>
      </c>
      <c r="B66" s="35" t="s">
        <v>72</v>
      </c>
      <c r="C66" s="18"/>
      <c r="D66" s="17"/>
      <c r="E66" s="41">
        <f t="shared" si="0"/>
        <v>0</v>
      </c>
      <c r="F66" s="18"/>
      <c r="G66" s="17"/>
      <c r="H66" s="41">
        <f t="shared" si="1"/>
        <v>0</v>
      </c>
      <c r="I66" s="18"/>
      <c r="J66" s="17"/>
      <c r="K66" s="41">
        <f t="shared" si="2"/>
        <v>0</v>
      </c>
      <c r="L66" s="18"/>
      <c r="M66" s="17"/>
      <c r="N66" s="41">
        <f t="shared" si="3"/>
        <v>0</v>
      </c>
      <c r="O66" s="18"/>
      <c r="P66" s="17"/>
      <c r="Q66" s="41">
        <f t="shared" si="4"/>
        <v>0</v>
      </c>
      <c r="R66" s="18"/>
      <c r="S66" s="17"/>
      <c r="T66" s="41">
        <f t="shared" si="5"/>
        <v>0</v>
      </c>
      <c r="U66" s="32"/>
      <c r="V66" s="17"/>
      <c r="W66" s="41">
        <f t="shared" si="6"/>
        <v>0</v>
      </c>
      <c r="X66" s="18"/>
      <c r="Y66" s="17"/>
      <c r="Z66" s="41">
        <f t="shared" si="7"/>
        <v>0</v>
      </c>
      <c r="AA66" s="18"/>
      <c r="AB66" s="17"/>
      <c r="AC66" s="41">
        <f t="shared" si="8"/>
        <v>0</v>
      </c>
      <c r="AD66" s="18"/>
      <c r="AE66" s="17"/>
      <c r="AF66" s="41">
        <f t="shared" si="9"/>
        <v>0</v>
      </c>
      <c r="AG66" s="18"/>
      <c r="AH66" s="17"/>
      <c r="AI66" s="41">
        <f t="shared" si="10"/>
        <v>0</v>
      </c>
      <c r="AJ66" s="18"/>
      <c r="AK66" s="17"/>
      <c r="AL66" s="41">
        <f t="shared" si="11"/>
        <v>0</v>
      </c>
      <c r="AM66" s="54">
        <f t="shared" si="16"/>
        <v>0</v>
      </c>
      <c r="AN66" s="34"/>
      <c r="AP66" s="1" t="e">
        <f>VLOOKUP(A66,[1]BAJAS!$A$3:$D$45,3,FALSE)</f>
        <v>#N/A</v>
      </c>
    </row>
    <row r="67" spans="1:48" ht="16.5" customHeight="1" thickBot="1">
      <c r="A67" s="48">
        <v>12632</v>
      </c>
      <c r="B67" s="36" t="s">
        <v>73</v>
      </c>
      <c r="C67" s="29"/>
      <c r="D67" s="30"/>
      <c r="E67" s="31">
        <f t="shared" si="0"/>
        <v>0</v>
      </c>
      <c r="F67" s="29"/>
      <c r="G67" s="30"/>
      <c r="H67" s="31">
        <f t="shared" si="1"/>
        <v>0</v>
      </c>
      <c r="I67" s="29"/>
      <c r="J67" s="30"/>
      <c r="K67" s="31">
        <f t="shared" si="2"/>
        <v>0</v>
      </c>
      <c r="L67" s="29"/>
      <c r="M67" s="30"/>
      <c r="N67" s="31">
        <f t="shared" si="3"/>
        <v>0</v>
      </c>
      <c r="O67" s="29"/>
      <c r="P67" s="30"/>
      <c r="Q67" s="31">
        <f t="shared" si="4"/>
        <v>0</v>
      </c>
      <c r="R67" s="29"/>
      <c r="S67" s="30"/>
      <c r="T67" s="31">
        <f t="shared" si="5"/>
        <v>0</v>
      </c>
      <c r="U67" s="33"/>
      <c r="V67" s="30"/>
      <c r="W67" s="31">
        <f t="shared" si="6"/>
        <v>0</v>
      </c>
      <c r="X67" s="29"/>
      <c r="Y67" s="30"/>
      <c r="Z67" s="31">
        <f t="shared" si="7"/>
        <v>0</v>
      </c>
      <c r="AA67" s="29"/>
      <c r="AB67" s="30"/>
      <c r="AC67" s="31">
        <f t="shared" si="8"/>
        <v>0</v>
      </c>
      <c r="AD67" s="29"/>
      <c r="AE67" s="30"/>
      <c r="AF67" s="31">
        <f t="shared" si="9"/>
        <v>0</v>
      </c>
      <c r="AG67" s="29"/>
      <c r="AH67" s="30"/>
      <c r="AI67" s="31">
        <f t="shared" si="10"/>
        <v>0</v>
      </c>
      <c r="AJ67" s="29"/>
      <c r="AK67" s="30"/>
      <c r="AL67" s="31">
        <f t="shared" si="11"/>
        <v>0</v>
      </c>
      <c r="AM67" s="55">
        <f t="shared" si="16"/>
        <v>0</v>
      </c>
      <c r="AN67" s="34"/>
      <c r="AP67" s="1" t="e">
        <f>VLOOKUP(A67,[1]BAJAS!$A$3:$D$45,3,FALSE)</f>
        <v>#N/A</v>
      </c>
    </row>
    <row r="68" spans="1:48" ht="23.25" customHeight="1" thickBot="1">
      <c r="A68" s="28">
        <f>COUNTA(A4:A67)</f>
        <v>64</v>
      </c>
      <c r="B68" s="19" t="s">
        <v>74</v>
      </c>
      <c r="C68" s="13">
        <f>COUNTIF(C4:C67,"si")</f>
        <v>0</v>
      </c>
      <c r="D68" s="14"/>
      <c r="E68" s="15"/>
      <c r="F68" s="13">
        <f>COUNTIF(F4:F67,"si")</f>
        <v>0</v>
      </c>
      <c r="G68" s="14"/>
      <c r="H68" s="15"/>
      <c r="I68" s="13">
        <f>COUNTIF(I4:I67,"si")</f>
        <v>0</v>
      </c>
      <c r="J68" s="14"/>
      <c r="K68" s="15"/>
      <c r="L68" s="13">
        <f>COUNTIF(L4:L67,"si")</f>
        <v>0</v>
      </c>
      <c r="M68" s="14"/>
      <c r="N68" s="15"/>
      <c r="O68" s="13">
        <f>COUNTIF(O4:O67,"si")</f>
        <v>0</v>
      </c>
      <c r="P68" s="14"/>
      <c r="Q68" s="15"/>
      <c r="R68" s="13">
        <f>COUNTIF(R4:R67,"si")</f>
        <v>1</v>
      </c>
      <c r="S68" s="14"/>
      <c r="T68" s="15"/>
      <c r="U68" s="13">
        <f>COUNTIF(U4:U67,"si")</f>
        <v>0</v>
      </c>
      <c r="V68" s="14"/>
      <c r="W68" s="15"/>
      <c r="X68" s="13">
        <f>COUNTIF(X4:X67,"si")</f>
        <v>0</v>
      </c>
      <c r="Y68" s="14"/>
      <c r="Z68" s="15"/>
      <c r="AA68" s="13">
        <f>COUNTIF(AA4:AA67,"si")</f>
        <v>0</v>
      </c>
      <c r="AB68" s="14"/>
      <c r="AC68" s="15"/>
      <c r="AD68" s="13">
        <f>COUNTIF(AD4:AD67,"si")</f>
        <v>0</v>
      </c>
      <c r="AE68" s="14"/>
      <c r="AF68" s="15"/>
      <c r="AG68" s="13">
        <f>COUNTIF(AG4:AG67,"si")</f>
        <v>0</v>
      </c>
      <c r="AH68" s="14"/>
      <c r="AI68" s="15"/>
      <c r="AJ68" s="13">
        <f>COUNTIF(AJ4:AJ67,"si")</f>
        <v>0</v>
      </c>
      <c r="AK68" s="14"/>
      <c r="AL68" s="15"/>
      <c r="AM68" s="56">
        <f>SUM(AM4:AM67)</f>
        <v>1</v>
      </c>
      <c r="AN68"/>
      <c r="AO68" s="20"/>
      <c r="AP68" s="16"/>
      <c r="AQ68" s="16"/>
      <c r="AR68" s="16"/>
      <c r="AS68" s="16"/>
      <c r="AT68" s="16"/>
      <c r="AU68" s="16"/>
      <c r="AV68" s="16"/>
    </row>
    <row r="69" spans="1:48" ht="24.75" customHeight="1" thickBot="1">
      <c r="A69" s="65" t="s">
        <v>75</v>
      </c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7"/>
      <c r="V69" s="57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9"/>
      <c r="AN69"/>
    </row>
    <row r="70" spans="1:48" ht="24.95" customHeight="1" thickBot="1">
      <c r="A70" s="62" t="s">
        <v>76</v>
      </c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4"/>
      <c r="V70" s="5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7"/>
    </row>
    <row r="71" spans="1:48" ht="24.95" customHeight="1" thickBot="1">
      <c r="A71" s="62" t="s">
        <v>77</v>
      </c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4"/>
      <c r="V71" s="9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1"/>
    </row>
    <row r="74" spans="1:48">
      <c r="B74" s="8" t="s">
        <v>78</v>
      </c>
      <c r="C74" s="8"/>
      <c r="D74" s="8"/>
      <c r="E74" s="8"/>
      <c r="F74" s="8"/>
      <c r="G74" s="8"/>
      <c r="H74" s="8"/>
      <c r="I74" s="8"/>
      <c r="J74" s="8"/>
      <c r="K74" s="8"/>
    </row>
    <row r="75" spans="1:48">
      <c r="B75" s="8" t="s">
        <v>79</v>
      </c>
      <c r="C75" s="8"/>
      <c r="D75" s="8"/>
      <c r="E75" s="8"/>
      <c r="F75" s="8"/>
      <c r="G75" s="8"/>
      <c r="H75" s="8"/>
      <c r="I75" s="8"/>
      <c r="J75" s="8"/>
      <c r="K75" s="8"/>
    </row>
    <row r="76" spans="1:48">
      <c r="B76" s="8" t="s">
        <v>80</v>
      </c>
      <c r="C76" s="8"/>
      <c r="D76" s="8"/>
      <c r="E76" s="8"/>
      <c r="F76" s="8"/>
      <c r="G76" s="8"/>
      <c r="H76" s="8"/>
      <c r="I76" s="8"/>
      <c r="J76" s="8"/>
      <c r="K76" s="8"/>
    </row>
    <row r="77" spans="1:48">
      <c r="B77" s="8" t="s">
        <v>81</v>
      </c>
      <c r="C77" s="8"/>
      <c r="D77" s="8"/>
      <c r="E77" s="8"/>
      <c r="F77" s="8"/>
      <c r="G77" s="8"/>
      <c r="H77" s="8"/>
      <c r="I77" s="8"/>
      <c r="J77" s="8"/>
      <c r="K77" s="8"/>
    </row>
    <row r="78" spans="1:48">
      <c r="B78" s="8" t="s">
        <v>82</v>
      </c>
      <c r="C78" s="8"/>
      <c r="D78" s="8"/>
      <c r="E78" s="8"/>
      <c r="F78" s="8"/>
      <c r="G78" s="8"/>
      <c r="H78" s="8"/>
      <c r="I78" s="8"/>
      <c r="J78" s="8"/>
      <c r="K78" s="8"/>
    </row>
    <row r="79" spans="1:48">
      <c r="B79" s="8" t="s">
        <v>83</v>
      </c>
      <c r="N79" s="38"/>
    </row>
  </sheetData>
  <autoFilter ref="A3:AP71" xr:uid="{57D621C0-99F1-4099-85A2-5FB76CC29325}"/>
  <mergeCells count="5">
    <mergeCell ref="AM1:AM2"/>
    <mergeCell ref="A71:U71"/>
    <mergeCell ref="A69:U69"/>
    <mergeCell ref="A1:B2"/>
    <mergeCell ref="A70:U70"/>
  </mergeCells>
  <phoneticPr fontId="0" type="noConversion"/>
  <printOptions horizontalCentered="1" verticalCentered="1" gridLines="1"/>
  <pageMargins left="0.19685039370078741" right="0.19685039370078741" top="0.59055118110236227" bottom="0.59055118110236227" header="0.19685039370078741" footer="0.19685039370078741"/>
  <pageSetup paperSize="9" scale="65" orientation="landscape" r:id="rId1"/>
  <headerFooter alignWithMargins="0">
    <oddHeader>&amp;C&amp;"Arial,Negrita"&amp;F</oddHeader>
    <oddFooter>&amp;C&amp;"Arial,Negrita"PAGINA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Cines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lbarchetti</dc:creator>
  <cp:keywords/>
  <dc:description/>
  <cp:lastModifiedBy>Village Avellaneda</cp:lastModifiedBy>
  <cp:revision/>
  <dcterms:created xsi:type="dcterms:W3CDTF">2007-10-31T13:07:09Z</dcterms:created>
  <dcterms:modified xsi:type="dcterms:W3CDTF">2026-07-28T00:12:04Z</dcterms:modified>
  <cp:category/>
  <cp:contentStatus/>
</cp:coreProperties>
</file>