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nepolisonline-my.sharepoint.com/personal/village_avellaneda_cinepolis_com/Documents/ROSTER/2026/07 JULIO/"/>
    </mc:Choice>
  </mc:AlternateContent>
  <xr:revisionPtr revIDLastSave="11028" documentId="13_ncr:1_{BF38E258-BD41-4BB7-8D0E-FA4451549B6F}" xr6:coauthVersionLast="47" xr6:coauthVersionMax="47" xr10:uidLastSave="{36ACB9D5-6E3D-45FD-A29B-2656C541C28F}"/>
  <bookViews>
    <workbookView xWindow="-120" yWindow="-120" windowWidth="19440" windowHeight="15000" tabRatio="599" firstSheet="7" activeTab="10" xr2:uid="{B7B14B3B-0FF2-4FD3-B29B-949F0E2BA840}"/>
  </bookViews>
  <sheets>
    <sheet name="Candy. (2)" sheetId="6" state="hidden" r:id="rId1"/>
    <sheet name="Candy (no modificar)" sheetId="13" r:id="rId2"/>
    <sheet name="Piso " sheetId="16" r:id="rId3"/>
    <sheet name="Proyección" sheetId="3" r:id="rId4"/>
    <sheet name="PEDIDOS DE HORARIO" sheetId="15" r:id="rId5"/>
    <sheet name="Candy" sheetId="2" state="hidden" r:id="rId6"/>
    <sheet name="Jornadas reducción nocturna" sheetId="4" r:id="rId7"/>
    <sheet name="Piso .VACACIONES" sheetId="17" r:id="rId8"/>
    <sheet name="Candy-VACACIONES" sheetId="18" r:id="rId9"/>
    <sheet name="Hoja1" sheetId="19" r:id="rId10"/>
    <sheet name="Hoja2" sheetId="21" r:id="rId11"/>
  </sheets>
  <definedNames>
    <definedName name="_xlnm._FilterDatabase" localSheetId="10" hidden="1">Hoja2!$B$2:$D$9</definedName>
    <definedName name="_xlnm.Print_Area" localSheetId="5">Candy!$A$1:$P$20</definedName>
    <definedName name="_xlnm.Print_Area" localSheetId="1">'Candy (no modificar)'!$AG$1:$AV$29</definedName>
    <definedName name="_xlnm.Print_Area" localSheetId="0">'Candy. (2)'!$AG$1:$AV$30</definedName>
    <definedName name="_xlnm.Print_Area" localSheetId="8">'Candy-VACACIONES'!$BM$1:$CB$40</definedName>
    <definedName name="_xlnm.Print_Area" localSheetId="10">Hoja2!#REF!</definedName>
    <definedName name="_xlnm.Print_Area" localSheetId="2">'Piso '!$BM$1:$CR$26</definedName>
    <definedName name="_xlnm.Print_Area" localSheetId="3">Proyección!$BM$1:$CB$8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" i="17" l="1"/>
  <c r="Y4" i="17" s="1"/>
  <c r="AA4" i="17" s="1"/>
  <c r="AC4" i="17" s="1"/>
  <c r="AE4" i="17" s="1"/>
  <c r="U4" i="17"/>
  <c r="W2" i="17"/>
  <c r="BS4" i="3"/>
  <c r="F15" i="19"/>
  <c r="H15" i="19"/>
  <c r="J15" i="19" s="1"/>
  <c r="L15" i="19" s="1"/>
  <c r="N15" i="19" s="1"/>
  <c r="P15" i="19" s="1"/>
  <c r="F5" i="19"/>
  <c r="H5" i="19" s="1"/>
  <c r="J5" i="19" s="1"/>
  <c r="L5" i="19" s="1"/>
  <c r="N5" i="19" s="1"/>
  <c r="P5" i="19" s="1"/>
  <c r="U3" i="18"/>
  <c r="W3" i="18" s="1"/>
  <c r="Y3" i="18" s="1"/>
  <c r="AA3" i="18" s="1"/>
  <c r="AC3" i="18" s="1"/>
  <c r="AE3" i="18" s="1"/>
  <c r="AK3" i="18"/>
  <c r="AM3" i="18" s="1"/>
  <c r="AO3" i="18" s="1"/>
  <c r="AQ3" i="18" s="1"/>
  <c r="AS3" i="18" s="1"/>
  <c r="AU3" i="18" s="1"/>
  <c r="BA3" i="18"/>
  <c r="BC3" i="18" s="1"/>
  <c r="BE3" i="18" s="1"/>
  <c r="BG3" i="18" s="1"/>
  <c r="BI3" i="18" s="1"/>
  <c r="BK3" i="18" s="1"/>
  <c r="BQ3" i="18"/>
  <c r="BS3" i="18" s="1"/>
  <c r="BU3" i="18" s="1"/>
  <c r="BW3" i="18" s="1"/>
  <c r="BY3" i="18" s="1"/>
  <c r="CA3" i="18" s="1"/>
  <c r="E4" i="18"/>
  <c r="G4" i="18" s="1"/>
  <c r="I4" i="18" s="1"/>
  <c r="K4" i="18" s="1"/>
  <c r="M4" i="18" s="1"/>
  <c r="O4" i="18" s="1"/>
  <c r="CW4" i="17"/>
  <c r="CY4" i="17" s="1"/>
  <c r="DA4" i="17" s="1"/>
  <c r="DC4" i="17" s="1"/>
  <c r="DE4" i="17" s="1"/>
  <c r="DG4" i="17" s="1"/>
  <c r="CG4" i="17"/>
  <c r="CI4" i="17" s="1"/>
  <c r="CK4" i="17" s="1"/>
  <c r="CM4" i="17" s="1"/>
  <c r="CO4" i="17" s="1"/>
  <c r="CQ4" i="17" s="1"/>
  <c r="BQ4" i="17"/>
  <c r="BS4" i="17" s="1"/>
  <c r="BU4" i="17" s="1"/>
  <c r="BW4" i="17" s="1"/>
  <c r="BY4" i="17" s="1"/>
  <c r="CA4" i="17" s="1"/>
  <c r="BA4" i="17"/>
  <c r="BC4" i="17" s="1"/>
  <c r="BE4" i="17" s="1"/>
  <c r="BG4" i="17" s="1"/>
  <c r="BI4" i="17" s="1"/>
  <c r="BK4" i="17" s="1"/>
  <c r="AK4" i="17"/>
  <c r="AM4" i="17" s="1"/>
  <c r="AO4" i="17" s="1"/>
  <c r="AQ4" i="17" s="1"/>
  <c r="AS4" i="17" s="1"/>
  <c r="AU4" i="17" s="1"/>
  <c r="E4" i="17"/>
  <c r="G4" i="17" s="1"/>
  <c r="I4" i="17" s="1"/>
  <c r="K4" i="17" s="1"/>
  <c r="M4" i="17" s="1"/>
  <c r="O4" i="17" s="1"/>
  <c r="CY2" i="17"/>
  <c r="CI2" i="17"/>
  <c r="BS2" i="17"/>
  <c r="BC2" i="17"/>
  <c r="AM2" i="17"/>
  <c r="G2" i="17"/>
  <c r="E4" i="13"/>
  <c r="G4" i="13"/>
  <c r="I4" i="13"/>
  <c r="K4" i="13" s="1"/>
  <c r="M4" i="13" s="1"/>
  <c r="O4" i="13" s="1"/>
  <c r="BQ3" i="13"/>
  <c r="BS3" i="13" s="1"/>
  <c r="BU3" i="13" s="1"/>
  <c r="BW3" i="13" s="1"/>
  <c r="BY3" i="13" s="1"/>
  <c r="CA3" i="13" s="1"/>
  <c r="BA3" i="13"/>
  <c r="BC3" i="13" s="1"/>
  <c r="BE3" i="13" s="1"/>
  <c r="BG3" i="13" s="1"/>
  <c r="BI3" i="13" s="1"/>
  <c r="BK3" i="13" s="1"/>
  <c r="BA4" i="16"/>
  <c r="BC4" i="16" s="1"/>
  <c r="BE4" i="16" s="1"/>
  <c r="BG4" i="16" s="1"/>
  <c r="BI4" i="16" s="1"/>
  <c r="BK4" i="16" s="1"/>
  <c r="BC2" i="16"/>
  <c r="AK3" i="13"/>
  <c r="AM3" i="13" s="1"/>
  <c r="AO3" i="13" s="1"/>
  <c r="AQ3" i="13" s="1"/>
  <c r="AS3" i="13" s="1"/>
  <c r="AU3" i="13" s="1"/>
  <c r="U3" i="13"/>
  <c r="AK4" i="16"/>
  <c r="AM2" i="16"/>
  <c r="CY2" i="16"/>
  <c r="CW4" i="16"/>
  <c r="E4" i="3"/>
  <c r="G4" i="3" s="1"/>
  <c r="I4" i="3" s="1"/>
  <c r="K4" i="3" s="1"/>
  <c r="M4" i="3" s="1"/>
  <c r="O4" i="3" s="1"/>
  <c r="U4" i="16"/>
  <c r="W4" i="16" s="1"/>
  <c r="Y4" i="16" s="1"/>
  <c r="AA4" i="16" s="1"/>
  <c r="AC4" i="16" s="1"/>
  <c r="AE4" i="16" s="1"/>
  <c r="W2" i="16"/>
  <c r="BA4" i="3"/>
  <c r="BC4" i="3" s="1"/>
  <c r="BE4" i="3" s="1"/>
  <c r="BG4" i="3" s="1"/>
  <c r="BI4" i="3" s="1"/>
  <c r="BK4" i="3" s="1"/>
  <c r="CG4" i="16"/>
  <c r="CI4" i="16" s="1"/>
  <c r="CK4" i="16" s="1"/>
  <c r="CM4" i="16" s="1"/>
  <c r="CO4" i="16" s="1"/>
  <c r="CQ4" i="16" s="1"/>
  <c r="BQ4" i="16"/>
  <c r="BS4" i="16" s="1"/>
  <c r="BU4" i="16" s="1"/>
  <c r="BW4" i="16" s="1"/>
  <c r="BY4" i="16" s="1"/>
  <c r="CA4" i="16" s="1"/>
  <c r="E4" i="16"/>
  <c r="G4" i="16" s="1"/>
  <c r="I4" i="16" s="1"/>
  <c r="K4" i="16" s="1"/>
  <c r="M4" i="16" s="1"/>
  <c r="O4" i="16" s="1"/>
  <c r="CI2" i="16"/>
  <c r="BS2" i="16"/>
  <c r="G2" i="16"/>
  <c r="BQ4" i="3"/>
  <c r="AK4" i="3"/>
  <c r="AM4" i="3" s="1"/>
  <c r="AO4" i="3" s="1"/>
  <c r="U4" i="3"/>
  <c r="W4" i="3" s="1"/>
  <c r="Y4" i="3" s="1"/>
  <c r="AA4" i="3" s="1"/>
  <c r="AC4" i="3" s="1"/>
  <c r="AE4" i="3" s="1"/>
  <c r="F19" i="4"/>
  <c r="F17" i="4"/>
  <c r="F15" i="4"/>
  <c r="F13" i="4"/>
  <c r="F11" i="4"/>
  <c r="F10" i="4"/>
  <c r="F9" i="4"/>
  <c r="F8" i="4"/>
  <c r="F6" i="4"/>
  <c r="F4" i="4"/>
  <c r="BU4" i="3" l="1"/>
  <c r="BW4" i="3" s="1"/>
  <c r="BY4" i="3" s="1"/>
  <c r="CA4" i="3" s="1"/>
  <c r="W3" i="13"/>
  <c r="Y3" i="13" s="1"/>
  <c r="AA3" i="13" s="1"/>
  <c r="AC3" i="13" s="1"/>
  <c r="AE3" i="13" s="1"/>
  <c r="AM4" i="16"/>
  <c r="AO4" i="16" s="1"/>
  <c r="AQ4" i="16" s="1"/>
  <c r="AS4" i="16" s="1"/>
  <c r="AU4" i="16" s="1"/>
  <c r="CY4" i="16"/>
  <c r="DA4" i="16" s="1"/>
  <c r="DC4" i="16" s="1"/>
  <c r="DE4" i="16" s="1"/>
  <c r="DG4" i="16" s="1"/>
  <c r="AQ4" i="3"/>
  <c r="AS4" i="3" s="1"/>
  <c r="AU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vista</author>
  </authors>
  <commentList>
    <comment ref="A1" authorId="0" shapeId="0" xr:uid="{E46BC958-FD80-4058-8E3A-71513D31AE05}">
      <text>
        <r>
          <rPr>
            <b/>
            <sz val="8"/>
            <color indexed="81"/>
            <rFont val="Tahoma"/>
            <family val="2"/>
          </rPr>
          <t>pc: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Q1" authorId="0" shapeId="0" xr:uid="{406E1D58-BF3A-494C-838C-6AFBD7211188}">
      <text>
        <r>
          <rPr>
            <b/>
            <sz val="8"/>
            <color indexed="81"/>
            <rFont val="Tahoma"/>
            <family val="2"/>
          </rPr>
          <t>pc: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G1" authorId="0" shapeId="0" xr:uid="{4D85A49C-6E9E-461F-A013-9524F78EFE98}">
      <text>
        <r>
          <rPr>
            <b/>
            <sz val="8"/>
            <color indexed="81"/>
            <rFont val="Tahoma"/>
            <family val="2"/>
          </rPr>
          <t>pc: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W1" authorId="0" shapeId="0" xr:uid="{A450845C-E7A0-4AAD-B8B6-AA344088515F}">
      <text>
        <r>
          <rPr>
            <b/>
            <sz val="8"/>
            <color indexed="81"/>
            <rFont val="Tahoma"/>
            <family val="2"/>
          </rPr>
          <t>pc: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" authorId="1" shapeId="0" xr:uid="{4B5C05C7-0842-4C6A-93C1-ACA039CE9B36}">
      <text>
        <r>
          <rPr>
            <b/>
            <sz val="9"/>
            <color indexed="81"/>
            <rFont val="Tahoma"/>
            <family val="2"/>
          </rPr>
          <t>TRANSFORMER</t>
        </r>
      </text>
    </comment>
    <comment ref="Y7" authorId="1" shapeId="0" xr:uid="{81918B09-5D4F-4F48-BB61-27E387932CE9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Necesita franco o lo mas temprano que se pueda.</t>
        </r>
      </text>
    </comment>
    <comment ref="AZ7" authorId="1" shapeId="0" xr:uid="{F73E3D0A-06F3-4D7D-BFA1-0D8515A8E28F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pidio apertura
</t>
        </r>
      </text>
    </comment>
    <comment ref="G10" authorId="1" shapeId="0" xr:uid="{75329D51-CE1A-420A-832D-D344205060E6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Tiene un evento</t>
        </r>
      </text>
    </comment>
    <comment ref="AD10" authorId="1" shapeId="0" xr:uid="{1FB7AC47-CAA6-444E-9A9C-6A3029FBA595}">
      <text>
        <r>
          <rPr>
            <b/>
            <sz val="9"/>
            <color indexed="81"/>
            <rFont val="Tahoma"/>
            <family val="2"/>
          </rPr>
          <t>Pidio franco</t>
        </r>
      </text>
    </comment>
    <comment ref="X12" authorId="1" shapeId="0" xr:uid="{585317C3-61A0-4F14-AF9F-68E71F9BF3E3}">
      <text>
        <r>
          <rPr>
            <b/>
            <sz val="9"/>
            <color indexed="81"/>
            <rFont val="Tahoma"/>
            <family val="2"/>
          </rPr>
          <t>pidio apert</t>
        </r>
      </text>
    </comment>
    <comment ref="Z12" authorId="1" shapeId="0" xr:uid="{967011D9-E528-4D82-80F4-6F11A69AC265}">
      <text>
        <r>
          <rPr>
            <b/>
            <sz val="9"/>
            <color indexed="81"/>
            <rFont val="Tahoma"/>
            <family val="2"/>
          </rPr>
          <t>pidio cierre</t>
        </r>
      </text>
    </comment>
    <comment ref="AG15" authorId="1" shapeId="0" xr:uid="{16275B46-B0D4-4FC8-AD41-B66A19CA5110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lunes y miercoles estudia de 19 a 21hs. No tiene problema en salir a las 19hs.</t>
        </r>
      </text>
    </comment>
    <comment ref="AW15" authorId="1" shapeId="0" xr:uid="{50EF612B-ECFD-411A-967F-744AE1E92506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lunes y miercoles estudia de 19 a 21hs. No tiene problema en salir a las 19hs.</t>
        </r>
      </text>
    </comment>
    <comment ref="A29" authorId="1" shapeId="0" xr:uid="{0A90B5BD-BACC-441E-9E77-B2E55F533A8B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cursa los lunes y miercoles.</t>
        </r>
      </text>
    </comment>
    <comment ref="L29" authorId="1" shapeId="0" xr:uid="{1A865E7D-BF84-40CF-8B70-4463D8C15AC1}">
      <text>
        <r>
          <rPr>
            <b/>
            <sz val="9"/>
            <color indexed="81"/>
            <rFont val="Tahoma"/>
            <family val="2"/>
          </rPr>
          <t>tiene facultad</t>
        </r>
      </text>
    </comment>
    <comment ref="O29" authorId="1" shapeId="0" xr:uid="{471113F0-FCC2-4BD9-A5D8-66E7F7E63A42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tiene facultad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VISTA</author>
  </authors>
  <commentList>
    <comment ref="W4" authorId="0" shapeId="0" xr:uid="{321476E3-CE9C-4514-B1C9-67E9A19EBA1B}">
      <text>
        <r>
          <rPr>
            <b/>
            <sz val="9"/>
            <color indexed="81"/>
            <rFont val="Tahoma"/>
            <family val="2"/>
          </rPr>
          <t>FRANCO PEDIDO</t>
        </r>
      </text>
    </comment>
    <comment ref="AM5" authorId="0" shapeId="0" xr:uid="{5B5B0E50-5467-4E01-9115-1CA10B0A40E0}">
      <text>
        <r>
          <rPr>
            <b/>
            <sz val="9"/>
            <color indexed="81"/>
            <rFont val="Tahoma"/>
            <family val="2"/>
          </rPr>
          <t>FRANCO PEDIDO</t>
        </r>
      </text>
    </comment>
    <comment ref="S7" authorId="0" shapeId="0" xr:uid="{88084435-904D-4B0E-9A45-AB2531EF156A}">
      <text>
        <r>
          <rPr>
            <b/>
            <sz val="9"/>
            <color indexed="81"/>
            <rFont val="Tahoma"/>
            <family val="2"/>
          </rPr>
          <t>FRANCO PEDIDO</t>
        </r>
      </text>
    </comment>
    <comment ref="AO26" authorId="0" shapeId="0" xr:uid="{10036F31-A5F3-4158-A34C-9C21AB4A2677}">
      <text>
        <r>
          <rPr>
            <b/>
            <sz val="9"/>
            <color indexed="81"/>
            <rFont val="Tahoma"/>
            <family val="2"/>
          </rPr>
          <t>HORARIOPEDIDO</t>
        </r>
      </text>
    </comment>
    <comment ref="BC26" authorId="0" shapeId="0" xr:uid="{A42B600C-E6FA-4D6D-8BA3-7634C83EE693}">
      <text>
        <r>
          <rPr>
            <b/>
            <sz val="9"/>
            <color indexed="81"/>
            <rFont val="Tahoma"/>
            <family val="2"/>
          </rPr>
          <t>HORARIO PEDIDO</t>
        </r>
      </text>
    </comment>
    <comment ref="AM29" authorId="0" shapeId="0" xr:uid="{85C73DD3-45D3-46C5-B9A9-A5CDB40A6866}">
      <text>
        <r>
          <rPr>
            <b/>
            <sz val="9"/>
            <color indexed="81"/>
            <rFont val="Tahoma"/>
            <family val="2"/>
          </rPr>
          <t>HORARIO PEDIDO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vista</author>
    <author>VISTA</author>
    <author>Village Avellaneda</author>
  </authors>
  <commentList>
    <comment ref="A5" authorId="0" shapeId="0" xr:uid="{9441CF30-D113-48E3-BBD5-247F03B74939}">
      <text>
        <r>
          <rPr>
            <sz val="9"/>
            <color indexed="81"/>
            <rFont val="Tahoma"/>
            <family val="2"/>
          </rPr>
          <t xml:space="preserve">Cursa Lunes y Martes horario despues de las 15:30
</t>
        </r>
      </text>
    </comment>
    <comment ref="Q5" authorId="1" shapeId="0" xr:uid="{18153084-D6CB-43D9-B964-A32DD555807E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Lunes y jueves no puede apertura
</t>
        </r>
      </text>
    </comment>
    <comment ref="AG5" authorId="1" shapeId="0" xr:uid="{6CB2AA99-0BC9-4361-980E-72FB2236EBCA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Lunes y jueves no puede apertura
</t>
        </r>
      </text>
    </comment>
    <comment ref="AW5" authorId="1" shapeId="0" xr:uid="{77337137-8CEB-4C60-9B71-5FD7756B181F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Lunes y jueves no puede apertura
</t>
        </r>
      </text>
    </comment>
    <comment ref="BM5" authorId="2" shapeId="0" xr:uid="{50FD062A-3F1D-4BBD-83E4-711865B5CDE8}">
      <text>
        <r>
          <rPr>
            <sz val="11"/>
            <color theme="1"/>
            <rFont val="Calibri"/>
            <family val="2"/>
            <scheme val="minor"/>
          </rPr>
          <t xml:space="preserve">Village Avellaneda:
CURSA TODOS LOS LUNES Y JUEVES POR LA MAÑANA
</t>
        </r>
      </text>
    </comment>
    <comment ref="CC5" authorId="1" shapeId="0" xr:uid="{44AE0DEE-3D57-492A-A2F9-709001FD1138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Lunes y jueves no puede apertura
</t>
        </r>
      </text>
    </comment>
    <comment ref="CS5" authorId="1" shapeId="0" xr:uid="{B473189E-A976-43AF-9519-E1698E71C09D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Lunes y jueves no puede apertura
</t>
        </r>
      </text>
    </comment>
    <comment ref="K6" authorId="1" shapeId="0" xr:uid="{B78E3043-A7E2-4BE3-BBE2-4C05CB786FFD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Horario pedido
</t>
        </r>
      </text>
    </comment>
    <comment ref="V6" authorId="1" shapeId="0" xr:uid="{61BED4C5-98B2-4B2E-AEB9-83DA86E7783E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apertua
</t>
        </r>
      </text>
    </comment>
    <comment ref="AL6" authorId="1" shapeId="0" xr:uid="{B38A202F-E233-47D1-B96F-51E9786DD529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apertua
</t>
        </r>
      </text>
    </comment>
    <comment ref="BB6" authorId="1" shapeId="0" xr:uid="{72AC01A3-70B8-416D-B3DB-862915E7A2FC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apertua
</t>
        </r>
      </text>
    </comment>
    <comment ref="A7" authorId="0" shapeId="0" xr:uid="{CF11C980-3FF2-4EC7-B9F2-4BD288A4C795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Cursa los Sabado.(No tener horario muy tarde el viernes y el sabado entrar despues de 15:30</t>
        </r>
      </text>
    </comment>
    <comment ref="Q7" authorId="0" shapeId="0" xr:uid="{E7B7B91D-96CF-4DFC-9F8B-1329FCCA7E84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Horario de 15:30 ya que es delegada.</t>
        </r>
      </text>
    </comment>
    <comment ref="AG7" authorId="0" shapeId="0" xr:uid="{8E53F626-62B5-439E-8FB8-85362426EB91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Horario de 15:30 ya que es delegada.</t>
        </r>
      </text>
    </comment>
    <comment ref="AW7" authorId="0" shapeId="0" xr:uid="{334FE755-AD07-4647-B1D4-9C831567A8A8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Horario de 15:30 ya que es delegada.</t>
        </r>
      </text>
    </comment>
    <comment ref="BM7" authorId="0" shapeId="0" xr:uid="{0ED4CA5C-7259-42C7-BA50-E46EBAA4528E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Horario de 15:30 ya que es delegada.</t>
        </r>
      </text>
    </comment>
    <comment ref="CC7" authorId="0" shapeId="0" xr:uid="{869D26F1-8E2B-404A-A49A-A52C448DB90F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Horario de 15:30 ya que es delegada.</t>
        </r>
      </text>
    </comment>
    <comment ref="CS7" authorId="0" shapeId="0" xr:uid="{E17D7EA1-8575-474E-B51B-3F77DD1E49B2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Horario de 15:30 ya que es delegada.</t>
        </r>
      </text>
    </comment>
    <comment ref="U8" authorId="1" shapeId="0" xr:uid="{8064084F-4B69-4B8A-B1A2-5FD9F1D3F51C}">
      <text>
        <r>
          <rPr>
            <b/>
            <sz val="9"/>
            <color indexed="81"/>
            <rFont val="Tahoma"/>
            <family val="2"/>
          </rPr>
          <t xml:space="preserve">pedido 
</t>
        </r>
      </text>
    </comment>
    <comment ref="AK8" authorId="1" shapeId="0" xr:uid="{389A5903-DDDF-4A7A-8D78-0D87B24B9852}">
      <text>
        <r>
          <rPr>
            <b/>
            <sz val="9"/>
            <color indexed="81"/>
            <rFont val="Tahoma"/>
            <family val="2"/>
          </rPr>
          <t xml:space="preserve">pedido 
</t>
        </r>
      </text>
    </comment>
    <comment ref="BA8" authorId="1" shapeId="0" xr:uid="{5127CCD5-F73D-4792-A51F-7780D084B30F}">
      <text>
        <r>
          <rPr>
            <b/>
            <sz val="9"/>
            <color indexed="81"/>
            <rFont val="Tahoma"/>
            <family val="2"/>
          </rPr>
          <t xml:space="preserve">pedido 
</t>
        </r>
      </text>
    </comment>
    <comment ref="BO8" authorId="1" shapeId="0" xr:uid="{5242C84E-D3FE-4B46-B5E4-5A319312892A}">
      <text>
        <r>
          <rPr>
            <b/>
            <sz val="9"/>
            <color indexed="81"/>
            <rFont val="Tahoma"/>
            <family val="2"/>
          </rPr>
          <t>Pedido</t>
        </r>
      </text>
    </comment>
    <comment ref="A9" authorId="0" shapeId="0" xr:uid="{3CD444AB-0258-40C1-9C36-B0AE07D23879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Cursa los Lunes y Jueves de 08:00 a 10:30
</t>
        </r>
      </text>
    </comment>
    <comment ref="C9" authorId="1" shapeId="0" xr:uid="{6163FF60-F278-4CE4-AB69-BB1CB76AC91F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Franco pedido</t>
        </r>
      </text>
    </comment>
    <comment ref="E9" authorId="1" shapeId="0" xr:uid="{9C82C793-E653-4BE3-A29C-C04FE2A32388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Horario pedido</t>
        </r>
      </text>
    </comment>
    <comment ref="Q9" authorId="0" shapeId="0" xr:uid="{6E242E79-E6D3-49A1-86E4-53CDC9C23ED8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Cursa los
Mar y Vier 10:30 a 12:30</t>
        </r>
      </text>
    </comment>
    <comment ref="AG9" authorId="0" shapeId="0" xr:uid="{CFFB0DB4-BE4D-440D-8266-D3483C358F4C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Cursa los
Mar y Vier 10:30 a 12:30</t>
        </r>
      </text>
    </comment>
    <comment ref="AW9" authorId="0" shapeId="0" xr:uid="{B04D6F7C-35FC-4906-BF7F-569700171A41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Cursa los
Mar y Vier 10:30 a 12:30</t>
        </r>
      </text>
    </comment>
    <comment ref="BM9" authorId="0" shapeId="0" xr:uid="{96780452-0585-4F0B-BD9E-197C8ABC9520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Cursa los
Mar y Vier 10:30 a 12:30</t>
        </r>
      </text>
    </comment>
    <comment ref="BW9" authorId="1" shapeId="0" xr:uid="{A58DC0EA-5579-4E5C-B4DF-CA2E56B494C7}">
      <text>
        <r>
          <rPr>
            <b/>
            <sz val="9"/>
            <color indexed="81"/>
            <rFont val="Tahoma"/>
            <family val="2"/>
          </rPr>
          <t>Pedido</t>
        </r>
      </text>
    </comment>
    <comment ref="CC9" authorId="0" shapeId="0" xr:uid="{B97B91EA-58BC-4843-965F-0E322ADB8DD8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Cursa los
Mar y Vier 10:30 a 12:30</t>
        </r>
      </text>
    </comment>
    <comment ref="CL9" authorId="1" shapeId="0" xr:uid="{5EE1733F-E18A-46D9-8666-B36750F84342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franco Domingo del mes.
pedido</t>
        </r>
      </text>
    </comment>
    <comment ref="CS9" authorId="0" shapeId="0" xr:uid="{6415DD93-94B5-454D-9122-11460D0CA006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Cursa los
Mar y Vier 10:30 a 12:30</t>
        </r>
      </text>
    </comment>
    <comment ref="AW10" authorId="0" shapeId="0" xr:uid="{E25E311F-69E2-404B-AED6-AF0C0889049D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Cursa:
Lun: 6:15 a 10:15
Mar y Mier: 08:00 a 12:00
Jue: 08:00 a 13:30
Vier: 08:00 a 10:15</t>
        </r>
      </text>
    </comment>
    <comment ref="BQ10" authorId="1" shapeId="0" xr:uid="{B51A587C-5A80-4F89-BA43-C7D5667274F7}">
      <text>
        <r>
          <rPr>
            <b/>
            <sz val="9"/>
            <color indexed="81"/>
            <rFont val="Tahoma"/>
            <family val="2"/>
          </rPr>
          <t>Pedido</t>
        </r>
      </text>
    </comment>
    <comment ref="CC10" authorId="0" shapeId="0" xr:uid="{456CAA29-C613-4F84-ACE6-0A1826F4CC8E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Cursa:
Lun: 6:15 a 10:15
Mar y Mier: 08:00 a 12:00
Jue: 08:00 a 13:30
Vier: 08:00 a 10:15</t>
        </r>
      </text>
    </comment>
    <comment ref="CL10" authorId="1" shapeId="0" xr:uid="{2409A385-5889-4E88-B0DC-8A5189FB56DD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franco Domingo del mes.
pedido</t>
        </r>
      </text>
    </comment>
    <comment ref="AG11" authorId="0" shapeId="0" xr:uid="{1C22B806-4AE8-429A-A157-32833CC5F8EC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Cursa:
Lun: 6:15 a 10:15
Mar y Mier: 08:00 a 12:00
Jue: 08:00 a 13:30
Vier: 08:00 a 10:15</t>
        </r>
      </text>
    </comment>
    <comment ref="CB12" authorId="1" shapeId="0" xr:uid="{3528C9E3-CA86-44AC-A1F5-3505FD92057E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pedido</t>
        </r>
      </text>
    </comment>
    <comment ref="U13" authorId="1" shapeId="0" xr:uid="{083C05C3-35F3-4353-85C4-220BDE3C1EB7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pedido</t>
        </r>
      </text>
    </comment>
    <comment ref="BA13" authorId="1" shapeId="0" xr:uid="{71C44D70-4F0B-457C-A946-AA79A1E620A7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pedido</t>
        </r>
      </text>
    </comment>
    <comment ref="A14" authorId="0" shapeId="0" xr:uid="{2C31585B-6D4B-46EE-8AEC-B14FDE3A1B81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Cursa de Martes a Viernes de 09:00 a 12:00</t>
        </r>
      </text>
    </comment>
    <comment ref="Q14" authorId="0" shapeId="0" xr:uid="{5E379295-58BB-433F-B74A-BD04C15A9398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Cursa:
Lun: 6:15 a 10:15
Mar y Mier: 08:00 a 12:00
Jue: 08:00 a 13:30
Vier: 08:00 a 10:15</t>
        </r>
      </text>
    </comment>
    <comment ref="U14" authorId="1" shapeId="0" xr:uid="{27EA1074-CA96-4C6F-8EB5-E50A77623490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cursa
</t>
        </r>
      </text>
    </comment>
    <comment ref="AK14" authorId="1" shapeId="0" xr:uid="{EF9A6EE3-1C93-4133-B75F-1B4060CC8983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pedido</t>
        </r>
      </text>
    </comment>
    <comment ref="AW14" authorId="0" shapeId="0" xr:uid="{C6DE432F-9A52-4104-8AE7-9DC18E069605}">
      <text>
        <r>
          <rPr>
            <b/>
            <sz val="9"/>
            <color indexed="81"/>
            <rFont val="Tahoma"/>
            <family val="2"/>
          </rPr>
          <t xml:space="preserve">vista: 
Lunes: 10:20 a 13:00
Martes: 09:20 a 12:00
Mier: 08:00 a 11:40
Jueves: 08:40 a 12:20
viernes: 10:20 a 13:00
</t>
        </r>
      </text>
    </comment>
    <comment ref="BM14" authorId="0" shapeId="0" xr:uid="{94F91483-9824-4775-9945-7D11418256BA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Cursa:
Lun: 6:15 a 10:15
Mar y Mier: 08:00 a 12:00
Jue: 08:00 a 13:30
Vier: 20:00 a 12:15</t>
        </r>
      </text>
    </comment>
    <comment ref="CC14" authorId="0" shapeId="0" xr:uid="{01A2F296-82D6-4874-A8DD-50ADA7E50A94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Cursa:
Lun: 6:15 a 10:15
Mar y Mier: 08:00 a 12:00
Jue: 08:00 a 13:30
Vier: 20:00 a 12:15</t>
        </r>
      </text>
    </comment>
    <comment ref="CS14" authorId="0" shapeId="0" xr:uid="{C3C940FE-0011-4B1F-8882-D2560E479C25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Cursa:
Lun: 6:15 a 10:15
Mar y Mier: 08:00 a 12:00
Jue: 08:00 a 13:30
Vier: 08:00 a 10:15</t>
        </r>
      </text>
    </comment>
    <comment ref="A15" authorId="0" shapeId="0" xr:uid="{8C0DB771-6701-4BCD-8BC4-4825ADDBD7C3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 Libre los Lunes.
Martes 08:00a 14:10; Miercoles 08:00 a 13:00; Jueves 09:20 a 12:20; Viernes 08:40 a 12:00.</t>
        </r>
      </text>
    </comment>
    <comment ref="Q15" authorId="0" shapeId="0" xr:uid="{8B70FE0B-763E-461B-9A73-5B546ECBE209}">
      <text>
        <r>
          <rPr>
            <b/>
            <sz val="9"/>
            <color indexed="81"/>
            <rFont val="Tahoma"/>
            <family val="2"/>
          </rPr>
          <t xml:space="preserve">vista: 
Lunes: 10:20 a 13:00
Martes: 09:20 a 12:00
Mier: 08:00 a 11:40
Jueves: 08:40 a 12:20
viernes: 10:20 a 13:00
</t>
        </r>
      </text>
    </comment>
    <comment ref="AG15" authorId="0" shapeId="0" xr:uid="{FD62D7E5-7D5D-4A1B-BA29-70BE64FDE6E1}">
      <text>
        <r>
          <rPr>
            <b/>
            <sz val="9"/>
            <color indexed="81"/>
            <rFont val="Tahoma"/>
            <family val="2"/>
          </rPr>
          <t xml:space="preserve">vista: 
Lunes: 10:20 a 13:00
Martes: 09:20 a 12:00
Mier: 08:00 a 11:40
Jueves: 08:40 a 12:20
viernes: 10:20 a 13:00
</t>
        </r>
      </text>
    </comment>
    <comment ref="AW15" authorId="0" shapeId="0" xr:uid="{B2D73BE1-164D-4631-BED2-DBA59792D590}">
      <text>
        <r>
          <rPr>
            <b/>
            <sz val="9"/>
            <color indexed="81"/>
            <rFont val="Tahoma"/>
            <family val="2"/>
          </rPr>
          <t xml:space="preserve">vista: 
Lunes: 10:20 a 13:00
Martes: 09:20 a 12:00
Mier: 08:00 a 11:40
Jueves: 08:40 a 12:20
viernes: 10:20 a 13:00
</t>
        </r>
      </text>
    </comment>
    <comment ref="BM15" authorId="0" shapeId="0" xr:uid="{EFFF1AC6-DA88-4CEA-978D-BD3A7F99314F}">
      <text>
        <r>
          <rPr>
            <b/>
            <sz val="9"/>
            <color indexed="81"/>
            <rFont val="Tahoma"/>
            <family val="2"/>
          </rPr>
          <t xml:space="preserve">vista: 
Lunes: 10:20 a 13:00
Martes: 09:20 a 12:00
Mier: 08:00 a 11:40
Jueves: 08:40 a 12:20
viernes: 10:20 a 13:00
</t>
        </r>
      </text>
    </comment>
    <comment ref="CC15" authorId="0" shapeId="0" xr:uid="{AA2DFC31-4D93-4EF1-846A-D0FD324AC650}">
      <text>
        <r>
          <rPr>
            <b/>
            <sz val="9"/>
            <color indexed="81"/>
            <rFont val="Tahoma"/>
            <family val="2"/>
          </rPr>
          <t xml:space="preserve">vista: 
Lunes: 10:20 a 13:00
Martes: 09:20 a 12:00
Mier: 08:00 a 11:40
Jueves: 08:40 a 12:20
viernes: 10:20 a 13:00
</t>
        </r>
      </text>
    </comment>
    <comment ref="CS15" authorId="0" shapeId="0" xr:uid="{91D55370-640C-49BB-B807-8A19B5CDD659}">
      <text>
        <r>
          <rPr>
            <b/>
            <sz val="9"/>
            <color indexed="81"/>
            <rFont val="Tahoma"/>
            <family val="2"/>
          </rPr>
          <t xml:space="preserve">vista: 
Lunes: 10:20 a 13:00
Martes: 09:20 a 12:00
Mier: 08:00 a 11:40
Jueves: 08:40 a 12:20
viernes: 10:20 a 13:00
</t>
        </r>
      </text>
    </comment>
    <comment ref="A16" authorId="1" shapeId="0" xr:uid="{FD11F16B-24C1-4CBC-8C75-452EC9DD3468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De preferencia no trabajar los jueves</t>
        </r>
      </text>
    </comment>
    <comment ref="Q16" authorId="1" shapeId="0" xr:uid="{FC6270F0-96B5-47AE-821D-00B49DD1B743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De preferencia no trabajar los jueves y horarios tarde</t>
        </r>
      </text>
    </comment>
    <comment ref="AG16" authorId="1" shapeId="0" xr:uid="{3C436131-2F67-4FBD-88D8-9B3D18FC6EF9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De preferencia no trabajar los jueves y horarios tarde</t>
        </r>
      </text>
    </comment>
    <comment ref="AW16" authorId="1" shapeId="0" xr:uid="{B5DE1046-A5E7-4325-AF4A-F3A608F2722B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De preferencia no trabajar los jueves y horarios tarde</t>
        </r>
      </text>
    </comment>
    <comment ref="BM16" authorId="1" shapeId="0" xr:uid="{4A45B6D5-77DE-46E0-8782-144F7258BD35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De preferencia no trabajar los jueves y horarios tarde</t>
        </r>
      </text>
    </comment>
    <comment ref="CC16" authorId="1" shapeId="0" xr:uid="{13B9E47C-E1F3-4DEF-9E9D-4ECF63DAB054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De preferencia no trabajar los jueves y horarios tarde</t>
        </r>
      </text>
    </comment>
    <comment ref="CF16" authorId="1" shapeId="0" xr:uid="{448B4ADB-5504-4DEB-9008-9847FB774888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pedido</t>
        </r>
      </text>
    </comment>
    <comment ref="CH16" authorId="1" shapeId="0" xr:uid="{3B998B6B-86BE-445C-95B7-4A8C5F1E2ECB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pedido</t>
        </r>
      </text>
    </comment>
    <comment ref="CS16" authorId="1" shapeId="0" xr:uid="{BCA813AE-A42F-42FA-B247-E0D10878BE19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De preferencia no trabajar los jueves y horarios tarde</t>
        </r>
      </text>
    </comment>
    <comment ref="W17" authorId="1" shapeId="0" xr:uid="{5EB142DE-AF10-4BA6-B66D-569E36464444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pidio trabajar temprano
</t>
        </r>
      </text>
    </comment>
    <comment ref="AM17" authorId="1" shapeId="0" xr:uid="{77B1BCFA-5B5B-415A-9F64-200251C61C89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pidio trabajar temprano
</t>
        </r>
      </text>
    </comment>
    <comment ref="BC17" authorId="1" shapeId="0" xr:uid="{55594B01-8278-48B2-926E-7106A171CF73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pidio trabajar temprano
</t>
        </r>
      </text>
    </comment>
    <comment ref="CF17" authorId="1" shapeId="0" xr:uid="{9FA585AF-1F70-4538-8D37-4E343FF945A8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pedido</t>
        </r>
      </text>
    </comment>
    <comment ref="CH17" authorId="1" shapeId="0" xr:uid="{1FAC2E1C-C71D-4A9F-9030-81AFAC22C944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pedido</t>
        </r>
      </text>
    </comment>
    <comment ref="AM23" authorId="1" shapeId="0" xr:uid="{AC982826-2ADA-41FB-AF1C-B5A8DAD61950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horario pedido</t>
        </r>
      </text>
    </comment>
    <comment ref="BC23" authorId="1" shapeId="0" xr:uid="{D34E473C-14BE-4C01-BBB3-B99142CA8063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horario pedido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VISTA</author>
  </authors>
  <commentList>
    <comment ref="A8" authorId="0" shapeId="0" xr:uid="{A7250CD6-DCED-4024-8418-E6E181BD40CB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De lunes a viernes cursa de 18 a 22hs
puede hacer de 10 a17 -
09 a 16</t>
        </r>
      </text>
    </comment>
    <comment ref="Q8" authorId="0" shapeId="0" xr:uid="{426AE53E-6ECB-4591-9005-E0DB00225978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De lunes a viernes cursa de 18 a 22hs
puede hacer de 10 a17 -
09 a 16</t>
        </r>
      </text>
    </comment>
    <comment ref="AG8" authorId="0" shapeId="0" xr:uid="{CBF314BD-9CCE-4B21-BF5B-3D59FD772E51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De lunes a viernes cursa de 18 a 22hs
puede hacer de 10 a17 -
09 a 16</t>
        </r>
      </text>
    </comment>
    <comment ref="AW8" authorId="0" shapeId="0" xr:uid="{5BFF4594-5BAD-4E4F-9654-2592B5690BD2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De lunes a viernes cursa de 18 a 22hs
puede hacer de 10 a17 -
09 a 16</t>
        </r>
      </text>
    </comment>
    <comment ref="BM8" authorId="0" shapeId="0" xr:uid="{909C0872-FFBB-4E09-929B-6E32BBF9C4F5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De lunes a viernes cursa de 18 a 22hs
puede hacer de 10 a17 -
09 a 16</t>
        </r>
      </text>
    </comment>
    <comment ref="CD8" authorId="0" shapeId="0" xr:uid="{5A1174C4-D1C0-47DC-BBFF-53F3EE1B5C65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De lunes a viernes cursa de 18 a 22hs
puede hacer de 10 a17 -
09 a 16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vista</author>
  </authors>
  <commentList>
    <comment ref="A1" authorId="0" shapeId="0" xr:uid="{84CE557B-E24B-47F6-A2F1-E4988EC84979}">
      <text>
        <r>
          <rPr>
            <b/>
            <sz val="8"/>
            <color indexed="81"/>
            <rFont val="Tahoma"/>
            <family val="2"/>
          </rPr>
          <t>pc: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Q1" authorId="0" shapeId="0" xr:uid="{E76D4844-68B4-46A8-96EE-B791A726F93D}">
      <text>
        <r>
          <rPr>
            <b/>
            <sz val="8"/>
            <color indexed="81"/>
            <rFont val="Tahoma"/>
            <family val="2"/>
          </rPr>
          <t>pc: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G1" authorId="0" shapeId="0" xr:uid="{2985BAE1-41E4-487F-BAFB-9DB6142A0DD8}">
      <text>
        <r>
          <rPr>
            <b/>
            <sz val="8"/>
            <color indexed="81"/>
            <rFont val="Tahoma"/>
            <family val="2"/>
          </rPr>
          <t>pc: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W1" authorId="0" shapeId="0" xr:uid="{EE04B8DF-7B64-4CC5-9C4C-816B55D9E41A}">
      <text>
        <r>
          <rPr>
            <b/>
            <sz val="8"/>
            <color indexed="81"/>
            <rFont val="Tahoma"/>
            <family val="2"/>
          </rPr>
          <t>pc: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C5" authorId="1" shapeId="0" xr:uid="{6CE8095E-FDA3-4180-A7B8-EFFE1427BB40}">
      <text>
        <r>
          <rPr>
            <b/>
            <sz val="9"/>
            <color indexed="81"/>
            <rFont val="Tahoma"/>
            <family val="2"/>
          </rPr>
          <t>tiene medico</t>
        </r>
      </text>
    </comment>
    <comment ref="BL5" authorId="1" shapeId="0" xr:uid="{D6009077-0A88-4B5A-8F0C-B8C37D5938C4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medico</t>
        </r>
      </text>
    </comment>
    <comment ref="V6" authorId="1" shapeId="0" xr:uid="{482D7795-1DCB-4F1A-ABF3-1275194E048B}">
      <text>
        <r>
          <rPr>
            <sz val="9"/>
            <color indexed="81"/>
            <rFont val="Tahoma"/>
            <family val="2"/>
          </rPr>
          <t xml:space="preserve">
Pidio franco</t>
        </r>
      </text>
    </comment>
    <comment ref="T7" authorId="1" shapeId="0" xr:uid="{867769E6-F711-429E-B112-51DC18BD86EA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pidio apertura
de 12 a 8
</t>
        </r>
      </text>
    </comment>
    <comment ref="X7" authorId="1" shapeId="0" xr:uid="{29A10406-2631-44D3-8B56-71D0EB764AC9}">
      <text>
        <r>
          <rPr>
            <b/>
            <sz val="9"/>
            <color indexed="81"/>
            <rFont val="Tahoma"/>
            <family val="2"/>
          </rPr>
          <t>Pidio apertura o franco</t>
        </r>
      </text>
    </comment>
    <comment ref="Z7" authorId="1" shapeId="0" xr:uid="{8DF8376E-1C45-440E-8808-F05C0E093ECE}">
      <text>
        <r>
          <rPr>
            <b/>
            <sz val="9"/>
            <color indexed="81"/>
            <rFont val="Tahoma"/>
            <family val="2"/>
          </rPr>
          <t>Pidio franco</t>
        </r>
      </text>
    </comment>
    <comment ref="W8" authorId="1" shapeId="0" xr:uid="{855C89B0-C3FA-487C-92CF-743F792578AB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franco</t>
        </r>
      </text>
    </comment>
    <comment ref="Y8" authorId="1" shapeId="0" xr:uid="{99A58B8B-0449-47AE-8D0E-3632FA658224}">
      <text>
        <r>
          <rPr>
            <b/>
            <sz val="9"/>
            <color indexed="81"/>
            <rFont val="Tahoma"/>
            <family val="2"/>
          </rPr>
          <t>pidio su domingo</t>
        </r>
      </text>
    </comment>
    <comment ref="X9" authorId="1" shapeId="0" xr:uid="{12ACFD75-B96D-454F-9578-25BF17E50ED8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pidio franco o apert por los 15 de su hermana</t>
        </r>
      </text>
    </comment>
    <comment ref="F14" authorId="1" shapeId="0" xr:uid="{81270E01-669C-4F1C-B595-47E6E47DCC96}">
      <text>
        <r>
          <rPr>
            <b/>
            <sz val="9"/>
            <color indexed="81"/>
            <rFont val="Tahoma"/>
            <family val="2"/>
          </rPr>
          <t>Pidio franco por facultad</t>
        </r>
      </text>
    </comment>
    <comment ref="L14" authorId="1" shapeId="0" xr:uid="{2ADAA7A0-B775-46EA-AAB3-4A95F112B030}">
      <text>
        <r>
          <rPr>
            <b/>
            <sz val="9"/>
            <color indexed="81"/>
            <rFont val="Tahoma"/>
            <family val="2"/>
          </rPr>
          <t>Pidio cierre por facultad</t>
        </r>
      </text>
    </comment>
    <comment ref="V16" authorId="1" shapeId="0" xr:uid="{5392AAA4-0E5E-4CED-80D8-7B339DF31444}">
      <text>
        <r>
          <rPr>
            <b/>
            <sz val="9"/>
            <color indexed="81"/>
            <rFont val="Tahoma"/>
            <family val="2"/>
          </rPr>
          <t>Franco o Apert</t>
        </r>
      </text>
    </comment>
    <comment ref="X18" authorId="1" shapeId="0" xr:uid="{63FFBD2F-7FCE-4B0A-97F8-BB6B40A874D4}">
      <text>
        <r>
          <rPr>
            <b/>
            <sz val="9"/>
            <color indexed="81"/>
            <rFont val="Tahoma"/>
            <family val="2"/>
          </rPr>
          <t>pidio apert</t>
        </r>
      </text>
    </comment>
    <comment ref="AC27" authorId="1" shapeId="0" xr:uid="{0B04C92C-B460-4714-9BD0-6EE8AD81FFC4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Hasta cuando trabajan?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vista</author>
    <author>VISTA</author>
    <author>Village Avellaneda</author>
  </authors>
  <commentList>
    <comment ref="A5" authorId="0" shapeId="0" xr:uid="{716863AB-50F4-4D72-B487-A34B48B61EBE}">
      <text>
        <r>
          <rPr>
            <sz val="9"/>
            <color indexed="81"/>
            <rFont val="Tahoma"/>
            <family val="2"/>
          </rPr>
          <t xml:space="preserve">Cursa Lunes y Martes horario despues de las 15:30
</t>
        </r>
      </text>
    </comment>
    <comment ref="Q5" authorId="1" shapeId="0" xr:uid="{A2DAD8DB-ABC2-42BA-B049-403B8B3E966B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Lunes y jueves no puede apertura
</t>
        </r>
      </text>
    </comment>
    <comment ref="AG5" authorId="1" shapeId="0" xr:uid="{49700910-EE83-481D-9B72-90D3BDFE095C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Lunes y jueves no puede apertura
</t>
        </r>
      </text>
    </comment>
    <comment ref="AW5" authorId="1" shapeId="0" xr:uid="{4450B84F-EEC3-4055-ABC6-612FD2D2B4F5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Lunes y jueves no puede apertura
</t>
        </r>
      </text>
    </comment>
    <comment ref="BM5" authorId="2" shapeId="0" xr:uid="{841BB615-3DFD-4979-89C2-D3A30501828E}">
      <text>
        <r>
          <rPr>
            <sz val="11"/>
            <color theme="1"/>
            <rFont val="Calibri"/>
            <family val="2"/>
            <scheme val="minor"/>
          </rPr>
          <t xml:space="preserve">Village Avellaneda:
CURSA TODOS LOS LUNES Y JUEVES POR LA MAÑANA
</t>
        </r>
      </text>
    </comment>
    <comment ref="CC5" authorId="1" shapeId="0" xr:uid="{D36B3CA0-14EF-4DCD-B5FB-E3444B0E484F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Lunes y jueves no puede apertura
</t>
        </r>
      </text>
    </comment>
    <comment ref="CS5" authorId="1" shapeId="0" xr:uid="{5C2EBC2B-B00B-4B03-ADA9-7A9A4D6E97C4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Lunes y jueves no puede apertura
</t>
        </r>
      </text>
    </comment>
    <comment ref="K6" authorId="1" shapeId="0" xr:uid="{7F66E653-C3A7-44FF-B84F-91BF784FFD3A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Horario pedido
</t>
        </r>
      </text>
    </comment>
    <comment ref="AL6" authorId="1" shapeId="0" xr:uid="{70006B5D-A8A6-42C0-B74D-725C853B8C27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apertua
</t>
        </r>
      </text>
    </comment>
    <comment ref="BB6" authorId="1" shapeId="0" xr:uid="{0FE6CA16-13D9-448E-908E-36E32987BE28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apertua
</t>
        </r>
      </text>
    </comment>
    <comment ref="A7" authorId="0" shapeId="0" xr:uid="{2E760583-1DCB-4B3F-8C8A-A5A4C0C5D58E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Cursa los Sabado.(No tener horario muy tarde el viernes y el sabado entrar despues de 15:30</t>
        </r>
      </text>
    </comment>
    <comment ref="Q7" authorId="0" shapeId="0" xr:uid="{FADAE1C2-93FE-48AC-B771-4B671EC113F0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Horario de 15:30 ya que es delegada.</t>
        </r>
      </text>
    </comment>
    <comment ref="AG7" authorId="0" shapeId="0" xr:uid="{D4A3C8B5-25B9-450A-8915-D01009AA18E5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Horario de 15:30 ya que es delegada.</t>
        </r>
      </text>
    </comment>
    <comment ref="AW7" authorId="0" shapeId="0" xr:uid="{B38A99CA-48BF-48FB-9889-463DBD899DB9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Horario de 15:30 ya que es delegada.</t>
        </r>
      </text>
    </comment>
    <comment ref="BM7" authorId="0" shapeId="0" xr:uid="{17BF20AB-4C25-4B5C-8B2F-5DDEBA874006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Horario de 15:30 ya que es delegada.</t>
        </r>
      </text>
    </comment>
    <comment ref="CC7" authorId="0" shapeId="0" xr:uid="{60932471-D929-45BD-9159-7DCEF3310938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Horario de 15:30 ya que es delegada.</t>
        </r>
      </text>
    </comment>
    <comment ref="CS7" authorId="0" shapeId="0" xr:uid="{25DBA0BB-DBA4-474A-BBDB-4C9A5C0BC470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Horario de 15:30 ya que es delegada.</t>
        </r>
      </text>
    </comment>
    <comment ref="Z8" authorId="1" shapeId="0" xr:uid="{DEC3BDEC-97EE-400C-A20B-ACD6E5FFB180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pedido</t>
        </r>
      </text>
    </comment>
    <comment ref="AK8" authorId="1" shapeId="0" xr:uid="{F73F763F-1E59-4455-8094-463449AC5228}">
      <text>
        <r>
          <rPr>
            <b/>
            <sz val="9"/>
            <color indexed="81"/>
            <rFont val="Tahoma"/>
            <family val="2"/>
          </rPr>
          <t xml:space="preserve">pedido 
</t>
        </r>
      </text>
    </comment>
    <comment ref="BA8" authorId="1" shapeId="0" xr:uid="{F087D220-3EDD-4779-806F-0C4A15212B25}">
      <text>
        <r>
          <rPr>
            <b/>
            <sz val="9"/>
            <color indexed="81"/>
            <rFont val="Tahoma"/>
            <family val="2"/>
          </rPr>
          <t xml:space="preserve">pedido 
</t>
        </r>
      </text>
    </comment>
    <comment ref="BO8" authorId="1" shapeId="0" xr:uid="{4327B28D-781B-4207-BE16-5D44E5F19856}">
      <text>
        <r>
          <rPr>
            <b/>
            <sz val="9"/>
            <color indexed="81"/>
            <rFont val="Tahoma"/>
            <family val="2"/>
          </rPr>
          <t>Pedido</t>
        </r>
      </text>
    </comment>
    <comment ref="DB8" authorId="1" shapeId="0" xr:uid="{A45C3703-B1C5-47C0-8DF3-D584FE0AE356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pedido</t>
        </r>
      </text>
    </comment>
    <comment ref="A9" authorId="0" shapeId="0" xr:uid="{82DEFE46-2ED5-4415-8AF1-DD6C36E4A909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Cursa los Lunes y Jueves de 08:00 a 10:30
</t>
        </r>
      </text>
    </comment>
    <comment ref="C9" authorId="1" shapeId="0" xr:uid="{A6365E35-973D-4A89-AB60-346FF1434875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Franco pedido</t>
        </r>
      </text>
    </comment>
    <comment ref="E9" authorId="1" shapeId="0" xr:uid="{B684AA6B-F3B7-4E2F-A555-C3BC16F4C47B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Horario pedido</t>
        </r>
      </text>
    </comment>
    <comment ref="Q9" authorId="0" shapeId="0" xr:uid="{25FF39D8-F490-4FD3-8F4B-43C3D61DBC1C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Cursa los
Mar y Vier 10:30 a 12:30</t>
        </r>
      </text>
    </comment>
    <comment ref="AB9" authorId="1" shapeId="0" xr:uid="{CA5B1891-F71F-4482-B519-4C396C2DA5FE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pedido</t>
        </r>
      </text>
    </comment>
    <comment ref="AG9" authorId="0" shapeId="0" xr:uid="{372A3EF3-09FD-4668-A00D-1F982E6FC406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Cursa los
Mar y Vier 10:30 a 12:30</t>
        </r>
      </text>
    </comment>
    <comment ref="AW9" authorId="0" shapeId="0" xr:uid="{CD600FDB-AE6B-43A7-9D63-4175D7102E18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Cursa los
Mar y Vier 10:30 a 12:30</t>
        </r>
      </text>
    </comment>
    <comment ref="BM9" authorId="0" shapeId="0" xr:uid="{0CA0A8BD-CE55-4CEF-9914-27C9706F2234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Cursa los
Mar y Vier 10:30 a 12:30</t>
        </r>
      </text>
    </comment>
    <comment ref="BW9" authorId="1" shapeId="0" xr:uid="{ACF162AF-7A2F-4320-97DE-243A98D9DDF8}">
      <text>
        <r>
          <rPr>
            <b/>
            <sz val="9"/>
            <color indexed="81"/>
            <rFont val="Tahoma"/>
            <family val="2"/>
          </rPr>
          <t>Pedido</t>
        </r>
      </text>
    </comment>
    <comment ref="CC9" authorId="0" shapeId="0" xr:uid="{37CB7773-798A-4035-9588-B461C11392A2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Cursa los
Mar y Vier 10:30 a 12:30</t>
        </r>
      </text>
    </comment>
    <comment ref="CL9" authorId="1" shapeId="0" xr:uid="{D1C913BF-8E48-4BFC-9D21-1BAF256EE243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franco Domingo del mes.
pedido</t>
        </r>
      </text>
    </comment>
    <comment ref="CS9" authorId="0" shapeId="0" xr:uid="{494123F5-9401-4023-B8B8-03C9A37EE4A7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Cursa los
Mar y Vier 10:30 a 12:30</t>
        </r>
      </text>
    </comment>
    <comment ref="DD9" authorId="1" shapeId="0" xr:uid="{C4990CF3-EB14-46B0-B579-7258F46A5F7C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pedido</t>
        </r>
      </text>
    </comment>
    <comment ref="Q10" authorId="0" shapeId="0" xr:uid="{AA35917C-41C5-476C-B013-E9AC5088C0F2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Cursa:
Lun: 6:15 a 10:15
Mar y Mier: 08:00 a 12:00
Jue: 08:00 a 13:30
Vier: 08:00 a 10:15</t>
        </r>
      </text>
    </comment>
    <comment ref="AW10" authorId="0" shapeId="0" xr:uid="{5C9B48F3-26B9-469B-A0FB-BA3009DCCD0D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Cursa:
Lun: 6:15 a 10:15
Mar y Mier: 08:00 a 12:00
Jue: 08:00 a 13:30
Vier: 08:00 a 10:15</t>
        </r>
      </text>
    </comment>
    <comment ref="BQ10" authorId="1" shapeId="0" xr:uid="{8DCB0395-BB77-4638-A089-0C0C84E6DA43}">
      <text>
        <r>
          <rPr>
            <b/>
            <sz val="9"/>
            <color indexed="81"/>
            <rFont val="Tahoma"/>
            <family val="2"/>
          </rPr>
          <t>Pedido</t>
        </r>
      </text>
    </comment>
    <comment ref="CC10" authorId="0" shapeId="0" xr:uid="{64D16F2B-0E38-407D-9900-132B776F8A67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Cursa:
Lun: 6:15 a 10:15
Mar y Mier: 08:00 a 12:00
Jue: 08:00 a 13:30
Vier: 08:00 a 10:15</t>
        </r>
      </text>
    </comment>
    <comment ref="CL10" authorId="1" shapeId="0" xr:uid="{4F884B2D-71AF-48BD-9C3F-7E92EF33FE73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franco Domingo del mes.
pedido</t>
        </r>
      </text>
    </comment>
    <comment ref="CS10" authorId="0" shapeId="0" xr:uid="{3B9DAA12-D1D9-4484-A6D2-B804E08C6F9C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Cursa:
Lun: 6:15 a 10:15
Mar y Mier: 08:00 a 12:00
Jue: 08:00 a 13:30
Vier: 08:00 a 10:15</t>
        </r>
      </text>
    </comment>
    <comment ref="AG12" authorId="0" shapeId="0" xr:uid="{E1B01C17-FAEE-48FA-ACA6-FEB9BD434CFE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Cursa:
Lun: 6:15 a 10:15
Mar y Mier: 08:00 a 12:00
Jue: 08:00 a 13:30
Vier: 08:00 a 10:15</t>
        </r>
      </text>
    </comment>
    <comment ref="CB13" authorId="1" shapeId="0" xr:uid="{035D3E24-758A-413B-8B88-77F763AE7900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pedido</t>
        </r>
      </text>
    </comment>
    <comment ref="BA14" authorId="1" shapeId="0" xr:uid="{25F8FD8F-42E8-4692-87B5-8CFC8360631A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pedido</t>
        </r>
      </text>
    </comment>
    <comment ref="A15" authorId="0" shapeId="0" xr:uid="{CF841593-D5B1-450D-890D-FF833C2DBF05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 Libre los Lunes.
Martes 08:00a 14:10; Miercoles 08:00 a 13:00; Jueves 09:20 a 12:20; Viernes 08:40 a 12:00.</t>
        </r>
      </text>
    </comment>
    <comment ref="Q15" authorId="0" shapeId="0" xr:uid="{A5D448DE-2F1E-4BAF-A4F3-F421F6524166}">
      <text>
        <r>
          <rPr>
            <b/>
            <sz val="9"/>
            <color indexed="81"/>
            <rFont val="Tahoma"/>
            <family val="2"/>
          </rPr>
          <t xml:space="preserve">vista: 
Lunes: 10:20 a 13:00
Martes: 09:20 a 12:00
Mier: 08:00 a 11:40
Jueves: 08:40 a 12:20
viernes: 10:20 a 13:00
</t>
        </r>
      </text>
    </comment>
    <comment ref="T15" authorId="1" shapeId="0" xr:uid="{E02D15E6-BC5D-4350-9F8D-93EDA3BEB77A}">
      <text>
        <r>
          <rPr>
            <b/>
            <sz val="9"/>
            <color indexed="81"/>
            <rFont val="Tahoma"/>
            <family val="2"/>
          </rPr>
          <t>franco pedido</t>
        </r>
      </text>
    </comment>
    <comment ref="AG15" authorId="0" shapeId="0" xr:uid="{C10B81D1-76FF-4507-A50D-6A00CB32D88B}">
      <text>
        <r>
          <rPr>
            <b/>
            <sz val="9"/>
            <color indexed="81"/>
            <rFont val="Tahoma"/>
            <family val="2"/>
          </rPr>
          <t xml:space="preserve">vista: 
Lunes: 10:20 a 13:00
Martes: 09:20 a 12:00
Mier: 08:00 a 11:40
Jueves: 08:40 a 12:20
viernes: 10:20 a 13:00
</t>
        </r>
      </text>
    </comment>
    <comment ref="AW15" authorId="0" shapeId="0" xr:uid="{4550E5E9-2E3E-4E21-AF9B-FBC0F7611705}">
      <text>
        <r>
          <rPr>
            <b/>
            <sz val="9"/>
            <color indexed="81"/>
            <rFont val="Tahoma"/>
            <family val="2"/>
          </rPr>
          <t xml:space="preserve">vista: 
Lunes: 10:20 a 13:00
Martes: 09:20 a 12:00
Mier: 08:00 a 11:40
Jueves: 08:40 a 12:20
viernes: 10:20 a 13:00
</t>
        </r>
      </text>
    </comment>
    <comment ref="BM15" authorId="0" shapeId="0" xr:uid="{72F208B3-F5EB-46B1-9B9E-E344FD353F19}">
      <text>
        <r>
          <rPr>
            <b/>
            <sz val="9"/>
            <color indexed="81"/>
            <rFont val="Tahoma"/>
            <family val="2"/>
          </rPr>
          <t xml:space="preserve">vista: 
Lunes: 10:20 a 13:00
Martes: 09:20 a 12:00
Mier: 08:00 a 11:40
Jueves: 08:40 a 12:20
viernes: 10:20 a 13:00
</t>
        </r>
      </text>
    </comment>
    <comment ref="CC15" authorId="0" shapeId="0" xr:uid="{D3450FFE-7905-4253-9D31-43C761C20B40}">
      <text>
        <r>
          <rPr>
            <b/>
            <sz val="9"/>
            <color indexed="81"/>
            <rFont val="Tahoma"/>
            <family val="2"/>
          </rPr>
          <t xml:space="preserve">vista: 
Lunes: 10:20 a 13:00
Martes: 09:20 a 12:00
Mier: 08:00 a 11:40
Jueves: 08:40 a 12:20
viernes: 10:20 a 13:00
</t>
        </r>
      </text>
    </comment>
    <comment ref="CS15" authorId="0" shapeId="0" xr:uid="{00286737-0756-41D6-86F9-DB9D32D198F4}">
      <text>
        <r>
          <rPr>
            <b/>
            <sz val="9"/>
            <color indexed="81"/>
            <rFont val="Tahoma"/>
            <family val="2"/>
          </rPr>
          <t xml:space="preserve">vista: 
Lunes: 10:20 a 13:00
Martes: 09:20 a 12:00
Mier: 08:00 a 11:40
Jueves: 08:40 a 12:20
viernes: 10:20 a 13:00
</t>
        </r>
      </text>
    </comment>
    <comment ref="CV15" authorId="1" shapeId="0" xr:uid="{2CA697FA-7A74-4246-B8FD-6A5C1F962286}">
      <text>
        <r>
          <rPr>
            <b/>
            <sz val="9"/>
            <color indexed="81"/>
            <rFont val="Tahoma"/>
            <family val="2"/>
          </rPr>
          <t>franco pedido</t>
        </r>
      </text>
    </comment>
    <comment ref="A16" authorId="1" shapeId="0" xr:uid="{B4B0D13F-B82A-40C2-9808-9D3155D4344B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De preferencia no trabajar los jueves</t>
        </r>
      </text>
    </comment>
    <comment ref="Q16" authorId="1" shapeId="0" xr:uid="{22781E7C-9B56-4D9B-95A1-144945406924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De preferencia no trabajar los jueves y horarios tarde</t>
        </r>
      </text>
    </comment>
    <comment ref="AG16" authorId="1" shapeId="0" xr:uid="{1339D35D-F4AD-4672-946B-C190DB3213E5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De preferencia no trabajar los jueves y horarios tarde</t>
        </r>
      </text>
    </comment>
    <comment ref="AW16" authorId="1" shapeId="0" xr:uid="{1DC3BE7D-3AAF-4F24-824A-C3B633424960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De preferencia no trabajar los jueves y horarios tarde</t>
        </r>
      </text>
    </comment>
    <comment ref="BM16" authorId="1" shapeId="0" xr:uid="{BF57C003-B362-4A30-AEAF-E6F3F6B01163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De preferencia no trabajar los jueves y horarios tarde</t>
        </r>
      </text>
    </comment>
    <comment ref="CC16" authorId="1" shapeId="0" xr:uid="{FEEFC56D-0869-4DE7-A5F6-ED6A75C11882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De preferencia no trabajar los jueves y horarios tarde</t>
        </r>
      </text>
    </comment>
    <comment ref="CF16" authorId="1" shapeId="0" xr:uid="{8EE650ED-6E99-42C2-AA27-B91F9A2A7F70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pedido</t>
        </r>
      </text>
    </comment>
    <comment ref="CH16" authorId="1" shapeId="0" xr:uid="{DD8DBEE3-C086-4CCB-B68E-EC0813754CD8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pedido</t>
        </r>
      </text>
    </comment>
    <comment ref="CS16" authorId="1" shapeId="0" xr:uid="{7552FC98-338E-4448-AD4F-E5BA75D7E05B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De preferencia no trabajar los jueves y horarios tarde</t>
        </r>
      </text>
    </comment>
    <comment ref="AM17" authorId="1" shapeId="0" xr:uid="{3E0E6CF8-4D15-47D5-A1DD-4EC0E0E01974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pidio trabajar temprano
</t>
        </r>
      </text>
    </comment>
    <comment ref="BC17" authorId="1" shapeId="0" xr:uid="{1D8CDD7D-E636-47DF-B16A-D11814609E4D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pidio trabajar temprano
</t>
        </r>
      </text>
    </comment>
    <comment ref="CF17" authorId="1" shapeId="0" xr:uid="{3DDB73C7-BBA3-4855-9A44-AC8DC8AF8246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pedido</t>
        </r>
      </text>
    </comment>
    <comment ref="CH17" authorId="1" shapeId="0" xr:uid="{71772AC1-47CB-43DF-8DD0-A5421A95B417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pedido</t>
        </r>
      </text>
    </comment>
    <comment ref="AM23" authorId="1" shapeId="0" xr:uid="{06CB9643-98F7-4BE6-BF13-149DF50459C4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horario pedido</t>
        </r>
      </text>
    </comment>
    <comment ref="BC23" authorId="1" shapeId="0" xr:uid="{68AC99F2-56EA-4995-A3E3-10F8536E955D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horario pedido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VISTA</author>
  </authors>
  <commentList>
    <comment ref="W4" authorId="0" shapeId="0" xr:uid="{C9570E39-A51D-493B-BA70-B6F93F876805}">
      <text>
        <r>
          <rPr>
            <b/>
            <sz val="9"/>
            <color indexed="81"/>
            <rFont val="Tahoma"/>
            <family val="2"/>
          </rPr>
          <t>FRANCO PEDIDO</t>
        </r>
      </text>
    </comment>
    <comment ref="AM5" authorId="0" shapeId="0" xr:uid="{A861309C-9F4C-4823-A58E-E0C4378B9DE1}">
      <text>
        <r>
          <rPr>
            <b/>
            <sz val="9"/>
            <color indexed="81"/>
            <rFont val="Tahoma"/>
            <family val="2"/>
          </rPr>
          <t>FRANCO PEDIDO</t>
        </r>
      </text>
    </comment>
    <comment ref="S7" authorId="0" shapeId="0" xr:uid="{32D8094B-6856-43C6-B90A-D36EF695ACC3}">
      <text>
        <r>
          <rPr>
            <b/>
            <sz val="9"/>
            <color indexed="81"/>
            <rFont val="Tahoma"/>
            <family val="2"/>
          </rPr>
          <t>FRANCO PEDIDO</t>
        </r>
      </text>
    </comment>
    <comment ref="AO35" authorId="0" shapeId="0" xr:uid="{8DBD4C09-DE9F-41AB-A4C9-CCC490A83C0D}">
      <text>
        <r>
          <rPr>
            <b/>
            <sz val="9"/>
            <color indexed="81"/>
            <rFont val="Tahoma"/>
            <family val="2"/>
          </rPr>
          <t>HORARIOPEDIDO</t>
        </r>
      </text>
    </comment>
    <comment ref="BC35" authorId="0" shapeId="0" xr:uid="{B8F2D15E-D181-4BCA-ACA6-3FF930FE8F75}">
      <text>
        <r>
          <rPr>
            <b/>
            <sz val="9"/>
            <color indexed="81"/>
            <rFont val="Tahoma"/>
            <family val="2"/>
          </rPr>
          <t>HORARIO PEDIDO</t>
        </r>
      </text>
    </comment>
    <comment ref="AM38" authorId="0" shapeId="0" xr:uid="{0F90AF87-0769-4721-BDA3-1E65B03C45D8}">
      <text>
        <r>
          <rPr>
            <b/>
            <sz val="9"/>
            <color indexed="81"/>
            <rFont val="Tahoma"/>
            <family val="2"/>
          </rPr>
          <t>HORARIO PEDIDO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VISTA</author>
  </authors>
  <commentList>
    <comment ref="B9" authorId="0" shapeId="0" xr:uid="{2B22E9D0-7236-434D-95B8-88B81EC8DF31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De lunes a viernes cursa de 18 a 22hs
puede hacer de 10 a17 -
09 a 16</t>
        </r>
      </text>
    </comment>
    <comment ref="B19" authorId="0" shapeId="0" xr:uid="{B26EEBA6-EC98-465C-891F-1A944E9E806D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De lunes a viernes cursa de 18 a 22hs
puede hacer de 10 a17 -
09 a 16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vista</author>
  </authors>
  <commentList>
    <comment ref="B4" authorId="0" shapeId="0" xr:uid="{54013A12-B289-4A85-A04A-BE84A7726ADE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Horario de 15:30 ya que es delegada.</t>
        </r>
      </text>
    </comment>
    <comment ref="B6" authorId="0" shapeId="0" xr:uid="{8C80672E-F30E-499E-AE44-58B3AD0DB2BE}">
      <text>
        <r>
          <rPr>
            <b/>
            <sz val="9"/>
            <color indexed="81"/>
            <rFont val="Tahoma"/>
            <family val="2"/>
          </rPr>
          <t>vista:</t>
        </r>
        <r>
          <rPr>
            <sz val="9"/>
            <color indexed="81"/>
            <rFont val="Tahoma"/>
            <family val="2"/>
          </rPr>
          <t xml:space="preserve">
Cursa:
Lun: 6:15 a 10:15
Mar y Mier: 08:00 a 12:00
Jue: 08:00 a 13:30
Vier: 08:00 a 10:15</t>
        </r>
      </text>
    </comment>
  </commentList>
</comments>
</file>

<file path=xl/sharedStrings.xml><?xml version="1.0" encoding="utf-8"?>
<sst xmlns="http://schemas.openxmlformats.org/spreadsheetml/2006/main" count="3636" uniqueCount="296">
  <si>
    <t>CANDY BAR</t>
  </si>
  <si>
    <t>Candy Bar</t>
  </si>
  <si>
    <t>SEMANA Nº 1</t>
  </si>
  <si>
    <t>al</t>
  </si>
  <si>
    <t>MAYO</t>
  </si>
  <si>
    <t>SEMANA Nº 2</t>
  </si>
  <si>
    <t xml:space="preserve">al </t>
  </si>
  <si>
    <t>SEMANA Nº 5</t>
  </si>
  <si>
    <t>Enero</t>
  </si>
  <si>
    <t>Jueves</t>
  </si>
  <si>
    <t>Viernes</t>
  </si>
  <si>
    <t>Sábado</t>
  </si>
  <si>
    <t>Domingo</t>
  </si>
  <si>
    <t>Lunes</t>
  </si>
  <si>
    <t>Martes</t>
  </si>
  <si>
    <t>Miércoles</t>
  </si>
  <si>
    <t>STAFF</t>
  </si>
  <si>
    <t>FT/PT</t>
  </si>
  <si>
    <t>Andres Ortiz</t>
  </si>
  <si>
    <t>FT</t>
  </si>
  <si>
    <t>LIC</t>
  </si>
  <si>
    <t>Carolina Ruiz</t>
  </si>
  <si>
    <t>OK</t>
  </si>
  <si>
    <t>Lara Gutierrez -</t>
  </si>
  <si>
    <t>Lara Gutierrez</t>
  </si>
  <si>
    <t>Ok</t>
  </si>
  <si>
    <t>Gimena Fernandez -</t>
  </si>
  <si>
    <t>Gimena Fernandez</t>
  </si>
  <si>
    <t>Lionel Monzon</t>
  </si>
  <si>
    <t>Ezequiel Mirabal -</t>
  </si>
  <si>
    <t>Ezequiel Mirabal</t>
  </si>
  <si>
    <t>Pamela Ovejero</t>
  </si>
  <si>
    <t>Ivan Balseiro</t>
  </si>
  <si>
    <t>Sofia Miranda</t>
  </si>
  <si>
    <t>Tamara Centeno</t>
  </si>
  <si>
    <t>Lucas Aranda</t>
  </si>
  <si>
    <t>Dar solo 3 off</t>
  </si>
  <si>
    <t>Cintia Vara</t>
  </si>
  <si>
    <t>PT</t>
  </si>
  <si>
    <t>Guadalupe Zapata</t>
  </si>
  <si>
    <t>Zahira Rocabado</t>
  </si>
  <si>
    <t>Sofia Morales</t>
  </si>
  <si>
    <t>Ana Caceres Olivera</t>
  </si>
  <si>
    <t>Florencia Carosella</t>
  </si>
  <si>
    <t>Julieta Castro</t>
  </si>
  <si>
    <t>Zoe Vallarino</t>
  </si>
  <si>
    <t>Part</t>
  </si>
  <si>
    <t>Antonella Di Pace</t>
  </si>
  <si>
    <t>Joaquin Parodi</t>
  </si>
  <si>
    <t>Romina Campos</t>
  </si>
  <si>
    <t>Esteban Cruz</t>
  </si>
  <si>
    <t>Part 1</t>
  </si>
  <si>
    <t>Part 2</t>
  </si>
  <si>
    <t>Part 3</t>
  </si>
  <si>
    <t>Part 4</t>
  </si>
  <si>
    <t>Part 5</t>
  </si>
  <si>
    <t>Aper</t>
  </si>
  <si>
    <t>Cierre</t>
  </si>
  <si>
    <t>CandyUp</t>
  </si>
  <si>
    <t>Cambiar venta manual</t>
  </si>
  <si>
    <t xml:space="preserve">4TA </t>
  </si>
  <si>
    <t>EXPRESS</t>
  </si>
  <si>
    <t>TRANSFORMERS</t>
  </si>
  <si>
    <t>NUEVOS</t>
  </si>
  <si>
    <t>APERT</t>
  </si>
  <si>
    <t>POCHO</t>
  </si>
  <si>
    <t>SUGA</t>
  </si>
  <si>
    <t>CIERRE</t>
  </si>
  <si>
    <t>BOX</t>
  </si>
  <si>
    <t>SPIDERMAN</t>
  </si>
  <si>
    <t xml:space="preserve">PEDIDO </t>
  </si>
  <si>
    <t>CANDY UP</t>
  </si>
  <si>
    <t>DIA DE LA BANDERA</t>
  </si>
  <si>
    <t>TRASNOCHE</t>
  </si>
  <si>
    <t>HIBRIDOS</t>
  </si>
  <si>
    <t>FLASH</t>
  </si>
  <si>
    <t>BODEGA</t>
  </si>
  <si>
    <t>INDIANA 29MAYO</t>
  </si>
  <si>
    <t>Bodega Mañana</t>
  </si>
  <si>
    <t>Bodega Noche</t>
  </si>
  <si>
    <t>8 Cajas</t>
  </si>
  <si>
    <t xml:space="preserve">2 Retiro </t>
  </si>
  <si>
    <t>2 express  lado</t>
  </si>
  <si>
    <t>Boleteria 4</t>
  </si>
  <si>
    <t>Hibridos 2</t>
  </si>
  <si>
    <t>Candy up 3</t>
  </si>
  <si>
    <t>Pochoclera  fijos 2</t>
  </si>
  <si>
    <t>SEMANA Nº 3</t>
  </si>
  <si>
    <t>SEMANA Nº 4</t>
  </si>
  <si>
    <t xml:space="preserve">Lara Gutierrez </t>
  </si>
  <si>
    <t>FR1</t>
  </si>
  <si>
    <t>FR2</t>
  </si>
  <si>
    <t>FR3</t>
  </si>
  <si>
    <t>FR4</t>
  </si>
  <si>
    <t>FR5</t>
  </si>
  <si>
    <t>FR6</t>
  </si>
  <si>
    <t xml:space="preserve">Gimena Fernandez </t>
  </si>
  <si>
    <t>Juan Pablo Bruno</t>
  </si>
  <si>
    <t>Julieta Terrio</t>
  </si>
  <si>
    <t>FC</t>
  </si>
  <si>
    <t xml:space="preserve">Pamela Ovejero </t>
  </si>
  <si>
    <t>Jano Insaurralde</t>
  </si>
  <si>
    <t>Natali Dip Brain</t>
  </si>
  <si>
    <t>Melany Gonzalez</t>
  </si>
  <si>
    <t>Maria Avalos</t>
  </si>
  <si>
    <t>Kiara Cerveny</t>
  </si>
  <si>
    <t>Rodriguez Enzo</t>
  </si>
  <si>
    <t>Barbara Vega</t>
  </si>
  <si>
    <t>Thiago Zaza</t>
  </si>
  <si>
    <t>Lucia Fernandez</t>
  </si>
  <si>
    <t>Noelia Sosa</t>
  </si>
  <si>
    <t xml:space="preserve">Josefina Zisuela </t>
  </si>
  <si>
    <t>Juan Manuel Lagos</t>
  </si>
  <si>
    <t xml:space="preserve">Candela Segovia </t>
  </si>
  <si>
    <t>Araceli Gonzalez</t>
  </si>
  <si>
    <t>Sofia Carballo</t>
  </si>
  <si>
    <t xml:space="preserve">Victoria Caceres </t>
  </si>
  <si>
    <t>Camilo Fuentes</t>
  </si>
  <si>
    <t>Samanta Estevez</t>
  </si>
  <si>
    <t>Dana Lezcano</t>
  </si>
  <si>
    <t>Marilyn Ramirez</t>
  </si>
  <si>
    <t>ART</t>
  </si>
  <si>
    <t>Bodega</t>
  </si>
  <si>
    <t>ATM</t>
  </si>
  <si>
    <t>C Up</t>
  </si>
  <si>
    <t>Popera</t>
  </si>
  <si>
    <t>PISO</t>
  </si>
  <si>
    <t>Diciembre</t>
  </si>
  <si>
    <t>Mayo</t>
  </si>
  <si>
    <t>Abril</t>
  </si>
  <si>
    <t>Junio</t>
  </si>
  <si>
    <t>Maria Arrieta</t>
  </si>
  <si>
    <t>VAC</t>
  </si>
  <si>
    <t>Alejandro Herrera</t>
  </si>
  <si>
    <t>Sofia Gomez</t>
  </si>
  <si>
    <t>DIA</t>
  </si>
  <si>
    <t>MUDANZA</t>
  </si>
  <si>
    <t>Vanina Sotelo</t>
  </si>
  <si>
    <t>EST</t>
  </si>
  <si>
    <t xml:space="preserve">Santiago Leguizamon </t>
  </si>
  <si>
    <t>FR-ARB</t>
  </si>
  <si>
    <t>OLITO</t>
  </si>
  <si>
    <t>Agustin Tur Gimenez</t>
  </si>
  <si>
    <t>Ivan Fernandez</t>
  </si>
  <si>
    <t>Gabino Caceres</t>
  </si>
  <si>
    <t xml:space="preserve">PT </t>
  </si>
  <si>
    <t>Valentino Celiz</t>
  </si>
  <si>
    <t>Marcelo Vandecaveye</t>
  </si>
  <si>
    <t>Sofia Nicola</t>
  </si>
  <si>
    <t>Yohana Pedrozo</t>
  </si>
  <si>
    <t xml:space="preserve">Juan Cruz Santana </t>
  </si>
  <si>
    <t>Juanita Lucena</t>
  </si>
  <si>
    <t>Juanita Ludmila</t>
  </si>
  <si>
    <t>Fernando Ayala</t>
  </si>
  <si>
    <t>Tomas Lopez</t>
  </si>
  <si>
    <t>Thiago Chavez</t>
  </si>
  <si>
    <t>Facundo Alfonzo</t>
  </si>
  <si>
    <t>Matias Travaglini</t>
  </si>
  <si>
    <t>Brian Monzon</t>
  </si>
  <si>
    <t>Gustavo Otero</t>
  </si>
  <si>
    <t>Florencia Mari</t>
  </si>
  <si>
    <t>Santi me pidio el franco que se gano en el ARBOLITO para el 28/12</t>
  </si>
  <si>
    <t>Vanina Pidio dia de estudio (21/06- 22/06) y (23/06 -24/06) horario despues de las 16:00hs</t>
  </si>
  <si>
    <t>03/07 vani y marce necesitan franco y vani el 04/07 nesecita horario despues de las 16:00</t>
  </si>
  <si>
    <t>Apertura</t>
  </si>
  <si>
    <t>Yoha necesita 16/07 y 17/07 franco</t>
  </si>
  <si>
    <t>juan cruz 5/07 apertura</t>
  </si>
  <si>
    <t>Dia de estudio</t>
  </si>
  <si>
    <t>ale 3-07 franco</t>
  </si>
  <si>
    <t>Licencia</t>
  </si>
  <si>
    <t>Mudana</t>
  </si>
  <si>
    <t>Mudanza</t>
  </si>
  <si>
    <t>Falto</t>
  </si>
  <si>
    <t>4ta jornada</t>
  </si>
  <si>
    <t xml:space="preserve"> </t>
  </si>
  <si>
    <t>Proyección</t>
  </si>
  <si>
    <t>Gomez Federico</t>
  </si>
  <si>
    <t xml:space="preserve">Lescano Federico </t>
  </si>
  <si>
    <t xml:space="preserve">Llanos Gonzalo </t>
  </si>
  <si>
    <t>Nicolas De Zan</t>
  </si>
  <si>
    <t>ESTUDIO</t>
  </si>
  <si>
    <t>PEDIDOS CANDY</t>
  </si>
  <si>
    <t>COLABORADOR</t>
  </si>
  <si>
    <t>FECHA</t>
  </si>
  <si>
    <t>HORARIO</t>
  </si>
  <si>
    <t xml:space="preserve">Lara </t>
  </si>
  <si>
    <t>21/02 y 22/02</t>
  </si>
  <si>
    <t>Horario temprano (no necesariamente apertura)</t>
  </si>
  <si>
    <t>Zahira</t>
  </si>
  <si>
    <t xml:space="preserve">Trasnoche </t>
  </si>
  <si>
    <t>Melany</t>
  </si>
  <si>
    <t>Franco</t>
  </si>
  <si>
    <t xml:space="preserve">Maria </t>
  </si>
  <si>
    <t xml:space="preserve">Julieta </t>
  </si>
  <si>
    <t xml:space="preserve">Carolina </t>
  </si>
  <si>
    <t>Enzo</t>
  </si>
  <si>
    <t>Enzo ya no da mas clases puede trabajar cuaquier dia</t>
  </si>
  <si>
    <t>Natali</t>
  </si>
  <si>
    <t>Kiara</t>
  </si>
  <si>
    <t xml:space="preserve">Barbara </t>
  </si>
  <si>
    <t>Carolina</t>
  </si>
  <si>
    <t>Franco/horario mas tarde posible</t>
  </si>
  <si>
    <t>Carolina pidio trabajar los 2 feriados (se pasa de los dias de descanso, no tiene problema, se lo dijo a la delagada)</t>
  </si>
  <si>
    <t>Ezequiel</t>
  </si>
  <si>
    <t>Entrar temprano</t>
  </si>
  <si>
    <t>Cierre/ horario mas tarde posible</t>
  </si>
  <si>
    <t>Andrés</t>
  </si>
  <si>
    <t>martes y viernes</t>
  </si>
  <si>
    <t>A partir de 15:30 porque estudia</t>
  </si>
  <si>
    <t>Temprano</t>
  </si>
  <si>
    <t xml:space="preserve">Pamela </t>
  </si>
  <si>
    <t>Franco por turno médico</t>
  </si>
  <si>
    <t>Franco / Temprano</t>
  </si>
  <si>
    <t xml:space="preserve">Apertura / franco cumple </t>
  </si>
  <si>
    <t xml:space="preserve">Cierre </t>
  </si>
  <si>
    <t>Entrar 15:30</t>
  </si>
  <si>
    <t xml:space="preserve">Melany </t>
  </si>
  <si>
    <t>07/05 y 08/05</t>
  </si>
  <si>
    <t>franco</t>
  </si>
  <si>
    <t>Barbara</t>
  </si>
  <si>
    <t xml:space="preserve">  </t>
  </si>
  <si>
    <t>pide trabajar vier-sab-domi</t>
  </si>
  <si>
    <t>Pamela</t>
  </si>
  <si>
    <t>franco por turno medico</t>
  </si>
  <si>
    <t>Juan Bruno</t>
  </si>
  <si>
    <t>Frando</t>
  </si>
  <si>
    <t>Julieta</t>
  </si>
  <si>
    <t>A las 8</t>
  </si>
  <si>
    <t>Thiago</t>
  </si>
  <si>
    <t>12:00  a 20:00</t>
  </si>
  <si>
    <t>Franco / cierre</t>
  </si>
  <si>
    <t>Maria</t>
  </si>
  <si>
    <t>Gimena</t>
  </si>
  <si>
    <t>Franco Crew</t>
  </si>
  <si>
    <t>Juan Pablo</t>
  </si>
  <si>
    <t>Sabados</t>
  </si>
  <si>
    <t>A la mañana</t>
  </si>
  <si>
    <t>Lara</t>
  </si>
  <si>
    <t>Franco o aper</t>
  </si>
  <si>
    <t xml:space="preserve">Franco </t>
  </si>
  <si>
    <t>Dana</t>
  </si>
  <si>
    <t xml:space="preserve">Entrar temprano </t>
  </si>
  <si>
    <t>Victoria Caceres</t>
  </si>
  <si>
    <t>Franco o entrar tarde</t>
  </si>
  <si>
    <t>Andres</t>
  </si>
  <si>
    <t>Araceli</t>
  </si>
  <si>
    <t>Piso: Sofia Nicola</t>
  </si>
  <si>
    <t>23/5 y 24/5</t>
  </si>
  <si>
    <t>Dia de estudio Sabado, Domingo Cierre</t>
  </si>
  <si>
    <t>Piso Sofia Gomez</t>
  </si>
  <si>
    <t>24/05 y 25/05</t>
  </si>
  <si>
    <t>Marcelo</t>
  </si>
  <si>
    <t xml:space="preserve">Piso Yohana </t>
  </si>
  <si>
    <t>11/07 sabado</t>
  </si>
  <si>
    <t>Marzo</t>
  </si>
  <si>
    <t>00.20</t>
  </si>
  <si>
    <t>Erick Familia Aquino</t>
  </si>
  <si>
    <t>Julieta Andrioli</t>
  </si>
  <si>
    <t>Dylan Quispe</t>
  </si>
  <si>
    <t>Carolina Urunaga</t>
  </si>
  <si>
    <t>?</t>
  </si>
  <si>
    <t>Pedidos de horarios</t>
  </si>
  <si>
    <t>Pochoclera</t>
  </si>
  <si>
    <t>Dylan, Carolina y Erick</t>
  </si>
  <si>
    <t>14.03.2023</t>
  </si>
  <si>
    <t>Julieta A.</t>
  </si>
  <si>
    <t>02.04.2023</t>
  </si>
  <si>
    <t>Pedidos</t>
  </si>
  <si>
    <t>Pocho</t>
  </si>
  <si>
    <t>12:00 Pocho</t>
  </si>
  <si>
    <t>Reunion</t>
  </si>
  <si>
    <t>14:00 apert</t>
  </si>
  <si>
    <t>FRANJA REDUCIDA</t>
  </si>
  <si>
    <t>FRANJA</t>
  </si>
  <si>
    <t>MINUTOS DESCONTADOS</t>
  </si>
  <si>
    <t>ENTRADA</t>
  </si>
  <si>
    <t>SALIDA</t>
  </si>
  <si>
    <t>Maximo Salias</t>
  </si>
  <si>
    <t>Benjamin Imfeld</t>
  </si>
  <si>
    <t>Carla Dengler</t>
  </si>
  <si>
    <t>NDY-VACACIONES</t>
  </si>
  <si>
    <t>Solange Toledo</t>
  </si>
  <si>
    <t>Malena Barrionuevo</t>
  </si>
  <si>
    <t>Angel Vallejos</t>
  </si>
  <si>
    <t>Agustina Painceira</t>
  </si>
  <si>
    <t>Antonio Galvez</t>
  </si>
  <si>
    <t>Iara Salinas</t>
  </si>
  <si>
    <t>Sebastinas Urquiza</t>
  </si>
  <si>
    <t>Sebastian Urquiza</t>
  </si>
  <si>
    <t xml:space="preserve">Santiago Zarrazano </t>
  </si>
  <si>
    <t xml:space="preserve">Santiago Carrazano </t>
  </si>
  <si>
    <t>Antonella Apertile</t>
  </si>
  <si>
    <t>Aylen Ferreira</t>
  </si>
  <si>
    <t>Joaquin Durante</t>
  </si>
  <si>
    <t>CUP</t>
  </si>
  <si>
    <t>02.00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</si>
</sst>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d\-mmm;@"/>
    <numFmt numFmtId="165" formatCode="[$-C0A]d\-mmm\-yy;@"/>
  </numFmts>
  <fonts count="60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Arial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 tint="4.9989318521683403E-2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C000"/>
      <name val="Calibri"/>
      <family val="2"/>
      <scheme val="minor"/>
    </font>
    <font>
      <sz val="14"/>
      <color rgb="FFFFC000"/>
      <name val="Calibri"/>
      <family val="2"/>
      <scheme val="minor"/>
    </font>
    <font>
      <sz val="14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2" tint="-0.249977111117893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Arial"/>
      <family val="2"/>
    </font>
    <font>
      <sz val="1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</font>
    <font>
      <sz val="14"/>
      <name val="Calibri"/>
      <family val="2"/>
    </font>
    <font>
      <sz val="14"/>
      <color theme="0" tint="-0.34998626667073579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0"/>
      <color rgb="FF000000"/>
      <name val="Calibri"/>
      <family val="2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name val="Arial"/>
      <family val="2"/>
    </font>
    <font>
      <b/>
      <sz val="22"/>
      <color theme="1"/>
      <name val="Calibri"/>
      <family val="2"/>
      <scheme val="minor"/>
    </font>
    <font>
      <sz val="22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7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ADB6F9"/>
        <bgColor indexed="64"/>
      </patternFill>
    </fill>
    <fill>
      <patternFill patternType="solid">
        <fgColor rgb="FFC8F2FC"/>
        <bgColor indexed="64"/>
      </patternFill>
    </fill>
    <fill>
      <patternFill patternType="solid">
        <fgColor rgb="FFF692B8"/>
        <bgColor indexed="64"/>
      </patternFill>
    </fill>
    <fill>
      <patternFill patternType="solid">
        <fgColor rgb="FFF8A6C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4C7FE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D4E7C7"/>
        <bgColor indexed="64"/>
      </patternFill>
    </fill>
    <fill>
      <patternFill patternType="solid">
        <fgColor rgb="FFFDB5E0"/>
        <bgColor indexed="64"/>
      </patternFill>
    </fill>
    <fill>
      <patternFill patternType="solid">
        <fgColor rgb="FFB9E8F9"/>
        <bgColor indexed="64"/>
      </patternFill>
    </fill>
    <fill>
      <patternFill patternType="solid">
        <fgColor rgb="FFFDBBD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DFF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FDBFD"/>
        <bgColor indexed="64"/>
      </patternFill>
    </fill>
    <fill>
      <patternFill patternType="solid">
        <fgColor rgb="FFFFB66D"/>
        <bgColor indexed="64"/>
      </patternFill>
    </fill>
    <fill>
      <patternFill patternType="solid">
        <fgColor rgb="FFFFD9B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9B5CF"/>
        <bgColor indexed="64"/>
      </patternFill>
    </fill>
    <fill>
      <patternFill patternType="solid">
        <fgColor rgb="FFF79BBE"/>
        <bgColor indexed="64"/>
      </patternFill>
    </fill>
    <fill>
      <patternFill patternType="solid">
        <fgColor rgb="FFBDEFFB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CAE2"/>
        <bgColor indexed="64"/>
      </patternFill>
    </fill>
    <fill>
      <patternFill patternType="solid">
        <fgColor rgb="FFDFF7F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4EA"/>
        <bgColor indexed="64"/>
      </patternFill>
    </fill>
    <fill>
      <patternFill patternType="solid">
        <fgColor rgb="FFF9B1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6367F7"/>
        <bgColor indexed="64"/>
      </patternFill>
    </fill>
    <fill>
      <patternFill patternType="solid">
        <fgColor rgb="FFF4787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D0D"/>
        <bgColor indexed="64"/>
      </patternFill>
    </fill>
    <fill>
      <patternFill patternType="solid">
        <fgColor rgb="FFD24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DFD8FC"/>
        <bgColor indexed="64"/>
      </patternFill>
    </fill>
    <fill>
      <patternFill patternType="solid">
        <fgColor rgb="FFAB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7D3FD"/>
        <bgColor indexed="64"/>
      </patternFill>
    </fill>
    <fill>
      <patternFill patternType="solid">
        <fgColor rgb="FFFDCBDE"/>
        <bgColor indexed="64"/>
      </patternFill>
    </fill>
    <fill>
      <patternFill patternType="solid">
        <fgColor rgb="FFA0BDD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/>
        <bgColor indexed="64"/>
      </patternFill>
    </fill>
  </fills>
  <borders count="29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/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>
      <alignment vertical="top"/>
    </xf>
    <xf numFmtId="0" fontId="3" fillId="0" borderId="0">
      <alignment vertical="top"/>
    </xf>
  </cellStyleXfs>
  <cellXfs count="2327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2" xfId="0" applyBorder="1"/>
    <xf numFmtId="0" fontId="2" fillId="2" borderId="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0" xfId="0" applyFill="1"/>
    <xf numFmtId="0" fontId="2" fillId="0" borderId="43" xfId="0" applyFont="1" applyBorder="1" applyAlignment="1">
      <alignment horizontal="center"/>
    </xf>
    <xf numFmtId="0" fontId="3" fillId="7" borderId="52" xfId="0" applyFont="1" applyFill="1" applyBorder="1" applyAlignment="1">
      <alignment horizontal="center" vertical="center"/>
    </xf>
    <xf numFmtId="0" fontId="3" fillId="9" borderId="53" xfId="0" applyFont="1" applyFill="1" applyBorder="1" applyAlignment="1">
      <alignment vertical="center"/>
    </xf>
    <xf numFmtId="0" fontId="0" fillId="9" borderId="29" xfId="0" applyFill="1" applyBorder="1" applyAlignment="1">
      <alignment horizontal="center"/>
    </xf>
    <xf numFmtId="0" fontId="3" fillId="9" borderId="54" xfId="0" applyFont="1" applyFill="1" applyBorder="1" applyAlignment="1">
      <alignment vertical="center"/>
    </xf>
    <xf numFmtId="0" fontId="0" fillId="9" borderId="36" xfId="0" applyFill="1" applyBorder="1" applyAlignment="1">
      <alignment horizontal="center"/>
    </xf>
    <xf numFmtId="0" fontId="13" fillId="6" borderId="0" xfId="0" applyFont="1" applyFill="1"/>
    <xf numFmtId="0" fontId="14" fillId="0" borderId="0" xfId="0" applyFont="1"/>
    <xf numFmtId="0" fontId="17" fillId="0" borderId="43" xfId="0" applyFont="1" applyBorder="1" applyAlignment="1">
      <alignment horizontal="center"/>
    </xf>
    <xf numFmtId="0" fontId="18" fillId="0" borderId="4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17" fillId="11" borderId="24" xfId="0" applyFont="1" applyFill="1" applyBorder="1" applyAlignment="1">
      <alignment horizontal="center"/>
    </xf>
    <xf numFmtId="0" fontId="17" fillId="11" borderId="4" xfId="0" applyFont="1" applyFill="1" applyBorder="1" applyAlignment="1">
      <alignment horizontal="center"/>
    </xf>
    <xf numFmtId="0" fontId="17" fillId="11" borderId="2" xfId="0" applyFont="1" applyFill="1" applyBorder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20" fillId="10" borderId="36" xfId="0" applyFont="1" applyFill="1" applyBorder="1" applyAlignment="1">
      <alignment horizontal="center" vertical="center"/>
    </xf>
    <xf numFmtId="20" fontId="8" fillId="5" borderId="16" xfId="0" applyNumberFormat="1" applyFont="1" applyFill="1" applyBorder="1" applyAlignment="1">
      <alignment horizontal="center" vertical="center"/>
    </xf>
    <xf numFmtId="0" fontId="11" fillId="3" borderId="0" xfId="0" applyFont="1" applyFill="1"/>
    <xf numFmtId="0" fontId="13" fillId="3" borderId="0" xfId="0" applyFont="1" applyFill="1"/>
    <xf numFmtId="20" fontId="20" fillId="5" borderId="0" xfId="0" applyNumberFormat="1" applyFont="1" applyFill="1" applyAlignment="1">
      <alignment horizontal="center" vertical="center"/>
    </xf>
    <xf numFmtId="0" fontId="20" fillId="10" borderId="14" xfId="0" applyFont="1" applyFill="1" applyBorder="1" applyAlignment="1">
      <alignment horizontal="center" vertical="center"/>
    </xf>
    <xf numFmtId="0" fontId="20" fillId="10" borderId="23" xfId="0" applyFont="1" applyFill="1" applyBorder="1" applyAlignment="1">
      <alignment horizontal="center" vertical="center"/>
    </xf>
    <xf numFmtId="0" fontId="20" fillId="10" borderId="31" xfId="1" applyFont="1" applyFill="1" applyBorder="1" applyAlignment="1">
      <alignment horizontal="left"/>
    </xf>
    <xf numFmtId="0" fontId="18" fillId="12" borderId="29" xfId="0" applyFont="1" applyFill="1" applyBorder="1" applyAlignment="1">
      <alignment vertical="center"/>
    </xf>
    <xf numFmtId="0" fontId="18" fillId="12" borderId="13" xfId="0" applyFont="1" applyFill="1" applyBorder="1" applyAlignment="1">
      <alignment horizontal="center" vertical="center" wrapText="1"/>
    </xf>
    <xf numFmtId="0" fontId="18" fillId="12" borderId="36" xfId="0" applyFont="1" applyFill="1" applyBorder="1" applyAlignment="1">
      <alignment vertical="center"/>
    </xf>
    <xf numFmtId="0" fontId="18" fillId="12" borderId="14" xfId="0" applyFont="1" applyFill="1" applyBorder="1" applyAlignment="1">
      <alignment horizontal="center" vertical="center" wrapText="1"/>
    </xf>
    <xf numFmtId="0" fontId="20" fillId="12" borderId="36" xfId="0" applyFont="1" applyFill="1" applyBorder="1" applyAlignment="1">
      <alignment vertical="center"/>
    </xf>
    <xf numFmtId="0" fontId="20" fillId="12" borderId="14" xfId="0" applyFont="1" applyFill="1" applyBorder="1" applyAlignment="1">
      <alignment horizontal="center" vertical="center" wrapText="1"/>
    </xf>
    <xf numFmtId="0" fontId="20" fillId="12" borderId="36" xfId="1" applyFont="1" applyFill="1" applyBorder="1" applyAlignment="1">
      <alignment horizontal="left"/>
    </xf>
    <xf numFmtId="0" fontId="20" fillId="12" borderId="14" xfId="0" applyFont="1" applyFill="1" applyBorder="1" applyAlignment="1">
      <alignment horizontal="center" vertical="center"/>
    </xf>
    <xf numFmtId="0" fontId="20" fillId="10" borderId="14" xfId="1" applyFont="1" applyFill="1" applyBorder="1" applyAlignment="1">
      <alignment horizontal="left"/>
    </xf>
    <xf numFmtId="0" fontId="20" fillId="13" borderId="14" xfId="0" applyFont="1" applyFill="1" applyBorder="1" applyAlignment="1">
      <alignment horizontal="center" vertical="center"/>
    </xf>
    <xf numFmtId="0" fontId="18" fillId="13" borderId="29" xfId="0" applyFont="1" applyFill="1" applyBorder="1" applyAlignment="1">
      <alignment vertical="center"/>
    </xf>
    <xf numFmtId="0" fontId="18" fillId="13" borderId="36" xfId="0" applyFont="1" applyFill="1" applyBorder="1" applyAlignment="1">
      <alignment vertical="center"/>
    </xf>
    <xf numFmtId="0" fontId="20" fillId="13" borderId="36" xfId="0" applyFont="1" applyFill="1" applyBorder="1" applyAlignment="1">
      <alignment vertical="center"/>
    </xf>
    <xf numFmtId="0" fontId="20" fillId="13" borderId="36" xfId="1" applyFont="1" applyFill="1" applyBorder="1" applyAlignment="1">
      <alignment horizontal="left"/>
    </xf>
    <xf numFmtId="0" fontId="0" fillId="4" borderId="0" xfId="0" applyFill="1"/>
    <xf numFmtId="0" fontId="18" fillId="13" borderId="13" xfId="0" applyFont="1" applyFill="1" applyBorder="1" applyAlignment="1">
      <alignment horizontal="center" vertical="center" wrapText="1"/>
    </xf>
    <xf numFmtId="0" fontId="18" fillId="13" borderId="14" xfId="0" applyFont="1" applyFill="1" applyBorder="1" applyAlignment="1">
      <alignment horizontal="center" vertical="center" wrapText="1"/>
    </xf>
    <xf numFmtId="0" fontId="20" fillId="13" borderId="14" xfId="0" applyFont="1" applyFill="1" applyBorder="1" applyAlignment="1">
      <alignment horizontal="center" vertical="center" wrapText="1"/>
    </xf>
    <xf numFmtId="0" fontId="20" fillId="18" borderId="51" xfId="1" applyFont="1" applyFill="1" applyBorder="1" applyAlignment="1">
      <alignment vertical="center"/>
    </xf>
    <xf numFmtId="0" fontId="20" fillId="18" borderId="63" xfId="0" applyFont="1" applyFill="1" applyBorder="1" applyAlignment="1">
      <alignment horizontal="center" vertical="center"/>
    </xf>
    <xf numFmtId="0" fontId="20" fillId="18" borderId="36" xfId="1" applyFont="1" applyFill="1" applyBorder="1" applyAlignment="1">
      <alignment horizontal="left"/>
    </xf>
    <xf numFmtId="0" fontId="20" fillId="18" borderId="14" xfId="0" applyFont="1" applyFill="1" applyBorder="1" applyAlignment="1">
      <alignment horizontal="center" vertical="center"/>
    </xf>
    <xf numFmtId="0" fontId="20" fillId="18" borderId="56" xfId="1" applyFont="1" applyFill="1" applyBorder="1" applyAlignment="1">
      <alignment horizontal="left"/>
    </xf>
    <xf numFmtId="0" fontId="20" fillId="18" borderId="23" xfId="0" applyFont="1" applyFill="1" applyBorder="1" applyAlignment="1">
      <alignment horizontal="center" vertical="center"/>
    </xf>
    <xf numFmtId="0" fontId="20" fillId="18" borderId="52" xfId="1" applyFont="1" applyFill="1" applyBorder="1" applyAlignment="1">
      <alignment horizontal="left"/>
    </xf>
    <xf numFmtId="0" fontId="20" fillId="18" borderId="18" xfId="0" applyFont="1" applyFill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0" fillId="3" borderId="10" xfId="0" applyFill="1" applyBorder="1"/>
    <xf numFmtId="0" fontId="20" fillId="0" borderId="26" xfId="0" applyFont="1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0" fillId="3" borderId="50" xfId="0" applyFill="1" applyBorder="1" applyAlignment="1">
      <alignment horizontal="center"/>
    </xf>
    <xf numFmtId="0" fontId="3" fillId="3" borderId="12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20" fillId="13" borderId="23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5" fillId="3" borderId="25" xfId="0" applyFont="1" applyFill="1" applyBorder="1" applyAlignment="1">
      <alignment horizontal="center" vertical="center"/>
    </xf>
    <xf numFmtId="0" fontId="14" fillId="3" borderId="37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15" fillId="3" borderId="26" xfId="0" applyFont="1" applyFill="1" applyBorder="1" applyAlignment="1">
      <alignment horizontal="center" vertical="center"/>
    </xf>
    <xf numFmtId="0" fontId="14" fillId="3" borderId="50" xfId="0" applyFont="1" applyFill="1" applyBorder="1" applyAlignment="1">
      <alignment horizontal="center" vertical="center"/>
    </xf>
    <xf numFmtId="20" fontId="20" fillId="3" borderId="16" xfId="0" applyNumberFormat="1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20" fillId="0" borderId="9" xfId="0" applyFont="1" applyBorder="1" applyAlignment="1">
      <alignment horizontal="center" vertical="center"/>
    </xf>
    <xf numFmtId="0" fontId="0" fillId="0" borderId="10" xfId="0" applyBorder="1"/>
    <xf numFmtId="0" fontId="0" fillId="3" borderId="11" xfId="0" applyFill="1" applyBorder="1"/>
    <xf numFmtId="0" fontId="20" fillId="0" borderId="12" xfId="0" applyFont="1" applyBorder="1" applyAlignment="1">
      <alignment horizontal="center" vertical="center"/>
    </xf>
    <xf numFmtId="20" fontId="20" fillId="3" borderId="17" xfId="0" applyNumberFormat="1" applyFont="1" applyFill="1" applyBorder="1" applyAlignment="1">
      <alignment horizontal="center" vertical="center"/>
    </xf>
    <xf numFmtId="0" fontId="18" fillId="12" borderId="58" xfId="0" applyFont="1" applyFill="1" applyBorder="1" applyAlignment="1">
      <alignment vertical="center"/>
    </xf>
    <xf numFmtId="0" fontId="18" fillId="12" borderId="57" xfId="0" applyFont="1" applyFill="1" applyBorder="1" applyAlignment="1">
      <alignment vertical="center"/>
    </xf>
    <xf numFmtId="0" fontId="20" fillId="12" borderId="57" xfId="0" applyFont="1" applyFill="1" applyBorder="1" applyAlignment="1">
      <alignment vertical="center"/>
    </xf>
    <xf numFmtId="0" fontId="20" fillId="12" borderId="57" xfId="1" applyFont="1" applyFill="1" applyBorder="1" applyAlignment="1">
      <alignment horizontal="left"/>
    </xf>
    <xf numFmtId="0" fontId="0" fillId="0" borderId="5" xfId="0" applyBorder="1" applyAlignment="1">
      <alignment horizontal="center" vertical="center"/>
    </xf>
    <xf numFmtId="20" fontId="20" fillId="5" borderId="11" xfId="0" applyNumberFormat="1" applyFont="1" applyFill="1" applyBorder="1" applyAlignment="1">
      <alignment horizontal="center" vertical="center"/>
    </xf>
    <xf numFmtId="20" fontId="20" fillId="5" borderId="37" xfId="0" applyNumberFormat="1" applyFont="1" applyFill="1" applyBorder="1" applyAlignment="1">
      <alignment horizontal="center" vertical="center"/>
    </xf>
    <xf numFmtId="0" fontId="0" fillId="16" borderId="0" xfId="0" applyFill="1"/>
    <xf numFmtId="0" fontId="0" fillId="19" borderId="0" xfId="0" applyFill="1"/>
    <xf numFmtId="0" fontId="0" fillId="18" borderId="0" xfId="0" applyFill="1"/>
    <xf numFmtId="20" fontId="18" fillId="3" borderId="16" xfId="0" applyNumberFormat="1" applyFont="1" applyFill="1" applyBorder="1" applyAlignment="1">
      <alignment horizontal="center" vertical="center"/>
    </xf>
    <xf numFmtId="20" fontId="20" fillId="3" borderId="30" xfId="0" applyNumberFormat="1" applyFont="1" applyFill="1" applyBorder="1" applyAlignment="1">
      <alignment horizontal="center" vertical="center"/>
    </xf>
    <xf numFmtId="20" fontId="20" fillId="3" borderId="15" xfId="0" applyNumberFormat="1" applyFont="1" applyFill="1" applyBorder="1" applyAlignment="1">
      <alignment horizontal="center" vertical="center"/>
    </xf>
    <xf numFmtId="20" fontId="17" fillId="3" borderId="16" xfId="0" applyNumberFormat="1" applyFont="1" applyFill="1" applyBorder="1" applyAlignment="1">
      <alignment horizontal="center" vertical="center"/>
    </xf>
    <xf numFmtId="0" fontId="2" fillId="4" borderId="42" xfId="2" applyFont="1" applyFill="1" applyBorder="1" applyAlignment="1"/>
    <xf numFmtId="0" fontId="2" fillId="4" borderId="44" xfId="2" applyFont="1" applyFill="1" applyBorder="1" applyAlignment="1">
      <alignment horizontal="center"/>
    </xf>
    <xf numFmtId="0" fontId="11" fillId="4" borderId="45" xfId="2" applyFont="1" applyFill="1" applyBorder="1" applyAlignment="1">
      <alignment horizontal="center"/>
    </xf>
    <xf numFmtId="0" fontId="11" fillId="4" borderId="46" xfId="2" applyFont="1" applyFill="1" applyBorder="1" applyAlignment="1">
      <alignment horizontal="center"/>
    </xf>
    <xf numFmtId="0" fontId="2" fillId="21" borderId="4" xfId="2" applyFont="1" applyFill="1" applyBorder="1" applyAlignment="1"/>
    <xf numFmtId="20" fontId="3" fillId="16" borderId="7" xfId="2" applyNumberFormat="1" applyFill="1" applyBorder="1" applyAlignment="1">
      <alignment horizontal="center"/>
    </xf>
    <xf numFmtId="20" fontId="3" fillId="16" borderId="26" xfId="2" applyNumberFormat="1" applyFill="1" applyBorder="1" applyAlignment="1">
      <alignment horizontal="center"/>
    </xf>
    <xf numFmtId="20" fontId="3" fillId="16" borderId="9" xfId="2" applyNumberFormat="1" applyFill="1" applyBorder="1" applyAlignment="1">
      <alignment horizontal="center"/>
    </xf>
    <xf numFmtId="0" fontId="3" fillId="16" borderId="58" xfId="2" applyFill="1" applyBorder="1" applyAlignment="1">
      <alignment horizontal="center"/>
    </xf>
    <xf numFmtId="20" fontId="3" fillId="22" borderId="62" xfId="2" applyNumberFormat="1" applyFill="1" applyBorder="1" applyAlignment="1">
      <alignment horizontal="center"/>
    </xf>
    <xf numFmtId="20" fontId="3" fillId="22" borderId="55" xfId="2" applyNumberFormat="1" applyFill="1" applyBorder="1" applyAlignment="1">
      <alignment horizontal="center"/>
    </xf>
    <xf numFmtId="20" fontId="3" fillId="22" borderId="69" xfId="2" applyNumberFormat="1" applyFill="1" applyBorder="1" applyAlignment="1">
      <alignment horizontal="center"/>
    </xf>
    <xf numFmtId="0" fontId="3" fillId="22" borderId="70" xfId="2" applyFill="1" applyBorder="1" applyAlignment="1">
      <alignment horizontal="center"/>
    </xf>
    <xf numFmtId="20" fontId="3" fillId="16" borderId="15" xfId="2" applyNumberFormat="1" applyFill="1" applyBorder="1" applyAlignment="1">
      <alignment horizontal="center"/>
    </xf>
    <xf numFmtId="20" fontId="3" fillId="16" borderId="31" xfId="2" applyNumberFormat="1" applyFill="1" applyBorder="1" applyAlignment="1">
      <alignment horizontal="center"/>
    </xf>
    <xf numFmtId="20" fontId="3" fillId="16" borderId="17" xfId="2" applyNumberFormat="1" applyFill="1" applyBorder="1" applyAlignment="1">
      <alignment horizontal="center"/>
    </xf>
    <xf numFmtId="0" fontId="3" fillId="16" borderId="57" xfId="2" applyFill="1" applyBorder="1" applyAlignment="1">
      <alignment horizontal="center"/>
    </xf>
    <xf numFmtId="20" fontId="3" fillId="22" borderId="15" xfId="2" applyNumberFormat="1" applyFill="1" applyBorder="1" applyAlignment="1">
      <alignment horizontal="center"/>
    </xf>
    <xf numFmtId="20" fontId="3" fillId="22" borderId="31" xfId="2" applyNumberFormat="1" applyFill="1" applyBorder="1" applyAlignment="1">
      <alignment horizontal="center"/>
    </xf>
    <xf numFmtId="20" fontId="3" fillId="22" borderId="17" xfId="2" applyNumberFormat="1" applyFill="1" applyBorder="1" applyAlignment="1">
      <alignment horizontal="center"/>
    </xf>
    <xf numFmtId="0" fontId="3" fillId="22" borderId="57" xfId="2" applyFill="1" applyBorder="1" applyAlignment="1">
      <alignment horizontal="center"/>
    </xf>
    <xf numFmtId="20" fontId="3" fillId="22" borderId="10" xfId="2" applyNumberFormat="1" applyFill="1" applyBorder="1" applyAlignment="1">
      <alignment horizontal="center"/>
    </xf>
    <xf numFmtId="20" fontId="3" fillId="22" borderId="50" xfId="2" applyNumberFormat="1" applyFill="1" applyBorder="1" applyAlignment="1">
      <alignment horizontal="center"/>
    </xf>
    <xf numFmtId="20" fontId="3" fillId="22" borderId="12" xfId="2" applyNumberFormat="1" applyFill="1" applyBorder="1" applyAlignment="1">
      <alignment horizontal="center"/>
    </xf>
    <xf numFmtId="0" fontId="3" fillId="22" borderId="71" xfId="2" applyFill="1" applyBorder="1" applyAlignment="1">
      <alignment horizontal="center"/>
    </xf>
    <xf numFmtId="20" fontId="19" fillId="3" borderId="8" xfId="0" applyNumberFormat="1" applyFont="1" applyFill="1" applyBorder="1" applyAlignment="1">
      <alignment horizontal="center" vertical="center"/>
    </xf>
    <xf numFmtId="20" fontId="19" fillId="3" borderId="25" xfId="0" applyNumberFormat="1" applyFont="1" applyFill="1" applyBorder="1" applyAlignment="1">
      <alignment horizontal="center" vertical="center"/>
    </xf>
    <xf numFmtId="20" fontId="18" fillId="3" borderId="8" xfId="0" applyNumberFormat="1" applyFont="1" applyFill="1" applyBorder="1" applyAlignment="1">
      <alignment horizontal="center" vertical="center"/>
    </xf>
    <xf numFmtId="20" fontId="17" fillId="3" borderId="17" xfId="0" applyNumberFormat="1" applyFont="1" applyFill="1" applyBorder="1" applyAlignment="1">
      <alignment horizontal="center" vertical="center"/>
    </xf>
    <xf numFmtId="20" fontId="22" fillId="3" borderId="61" xfId="0" applyNumberFormat="1" applyFont="1" applyFill="1" applyBorder="1" applyAlignment="1">
      <alignment horizontal="center" vertical="center"/>
    </xf>
    <xf numFmtId="20" fontId="20" fillId="3" borderId="56" xfId="0" applyNumberFormat="1" applyFont="1" applyFill="1" applyBorder="1" applyAlignment="1">
      <alignment horizontal="center" vertical="center"/>
    </xf>
    <xf numFmtId="20" fontId="20" fillId="3" borderId="34" xfId="0" applyNumberFormat="1" applyFont="1" applyFill="1" applyBorder="1" applyAlignment="1">
      <alignment horizontal="center" vertical="center"/>
    </xf>
    <xf numFmtId="20" fontId="20" fillId="3" borderId="35" xfId="0" applyNumberFormat="1" applyFont="1" applyFill="1" applyBorder="1" applyAlignment="1">
      <alignment horizontal="center" vertical="center"/>
    </xf>
    <xf numFmtId="20" fontId="20" fillId="3" borderId="47" xfId="0" applyNumberFormat="1" applyFont="1" applyFill="1" applyBorder="1" applyAlignment="1">
      <alignment horizontal="center" vertical="center"/>
    </xf>
    <xf numFmtId="20" fontId="20" fillId="3" borderId="55" xfId="0" applyNumberFormat="1" applyFont="1" applyFill="1" applyBorder="1" applyAlignment="1">
      <alignment horizontal="center" vertical="center"/>
    </xf>
    <xf numFmtId="20" fontId="20" fillId="3" borderId="21" xfId="0" applyNumberFormat="1" applyFont="1" applyFill="1" applyBorder="1" applyAlignment="1">
      <alignment horizontal="center" vertical="center"/>
    </xf>
    <xf numFmtId="20" fontId="18" fillId="3" borderId="16" xfId="0" applyNumberFormat="1" applyFont="1" applyFill="1" applyBorder="1" applyAlignment="1">
      <alignment horizontal="center"/>
    </xf>
    <xf numFmtId="20" fontId="20" fillId="3" borderId="60" xfId="0" applyNumberFormat="1" applyFont="1" applyFill="1" applyBorder="1" applyAlignment="1">
      <alignment horizontal="center" vertical="center"/>
    </xf>
    <xf numFmtId="20" fontId="20" fillId="3" borderId="31" xfId="0" applyNumberFormat="1" applyFont="1" applyFill="1" applyBorder="1" applyAlignment="1">
      <alignment horizontal="center" vertical="center"/>
    </xf>
    <xf numFmtId="20" fontId="17" fillId="3" borderId="15" xfId="0" applyNumberFormat="1" applyFont="1" applyFill="1" applyBorder="1" applyAlignment="1">
      <alignment horizontal="center" vertical="center"/>
    </xf>
    <xf numFmtId="20" fontId="24" fillId="3" borderId="16" xfId="0" applyNumberFormat="1" applyFont="1" applyFill="1" applyBorder="1" applyAlignment="1">
      <alignment horizontal="center" vertical="center"/>
    </xf>
    <xf numFmtId="20" fontId="20" fillId="3" borderId="19" xfId="0" applyNumberFormat="1" applyFont="1" applyFill="1" applyBorder="1" applyAlignment="1">
      <alignment horizontal="center" vertical="center"/>
    </xf>
    <xf numFmtId="20" fontId="20" fillId="3" borderId="49" xfId="0" applyNumberFormat="1" applyFont="1" applyFill="1" applyBorder="1" applyAlignment="1">
      <alignment horizontal="center" vertical="center"/>
    </xf>
    <xf numFmtId="20" fontId="20" fillId="3" borderId="8" xfId="0" applyNumberFormat="1" applyFont="1" applyFill="1" applyBorder="1" applyAlignment="1">
      <alignment horizontal="center" vertical="center"/>
    </xf>
    <xf numFmtId="20" fontId="22" fillId="3" borderId="16" xfId="0" applyNumberFormat="1" applyFont="1" applyFill="1" applyBorder="1" applyAlignment="1">
      <alignment horizontal="center" vertical="center"/>
    </xf>
    <xf numFmtId="20" fontId="20" fillId="3" borderId="22" xfId="0" applyNumberFormat="1" applyFont="1" applyFill="1" applyBorder="1" applyAlignment="1">
      <alignment horizontal="center" vertical="center"/>
    </xf>
    <xf numFmtId="20" fontId="25" fillId="3" borderId="47" xfId="0" applyNumberFormat="1" applyFont="1" applyFill="1" applyBorder="1" applyAlignment="1">
      <alignment horizontal="center" vertical="center"/>
    </xf>
    <xf numFmtId="20" fontId="25" fillId="3" borderId="21" xfId="0" applyNumberFormat="1" applyFont="1" applyFill="1" applyBorder="1" applyAlignment="1">
      <alignment horizontal="center" vertical="center"/>
    </xf>
    <xf numFmtId="20" fontId="25" fillId="3" borderId="16" xfId="0" applyNumberFormat="1" applyFont="1" applyFill="1" applyBorder="1" applyAlignment="1">
      <alignment horizontal="center" vertical="center"/>
    </xf>
    <xf numFmtId="20" fontId="17" fillId="3" borderId="30" xfId="0" applyNumberFormat="1" applyFont="1" applyFill="1" applyBorder="1" applyAlignment="1">
      <alignment horizontal="center" vertical="center"/>
    </xf>
    <xf numFmtId="20" fontId="17" fillId="3" borderId="31" xfId="0" applyNumberFormat="1" applyFont="1" applyFill="1" applyBorder="1" applyAlignment="1">
      <alignment horizontal="center" vertical="center"/>
    </xf>
    <xf numFmtId="20" fontId="25" fillId="3" borderId="35" xfId="0" applyNumberFormat="1" applyFont="1" applyFill="1" applyBorder="1" applyAlignment="1">
      <alignment horizontal="center" vertical="center"/>
    </xf>
    <xf numFmtId="20" fontId="25" fillId="3" borderId="15" xfId="0" applyNumberFormat="1" applyFont="1" applyFill="1" applyBorder="1" applyAlignment="1">
      <alignment horizontal="center" vertical="center"/>
    </xf>
    <xf numFmtId="20" fontId="20" fillId="3" borderId="10" xfId="0" applyNumberFormat="1" applyFont="1" applyFill="1" applyBorder="1" applyAlignment="1">
      <alignment horizontal="center" vertical="center"/>
    </xf>
    <xf numFmtId="20" fontId="20" fillId="3" borderId="11" xfId="0" applyNumberFormat="1" applyFont="1" applyFill="1" applyBorder="1" applyAlignment="1">
      <alignment horizontal="center" vertical="center"/>
    </xf>
    <xf numFmtId="20" fontId="20" fillId="3" borderId="50" xfId="0" applyNumberFormat="1" applyFont="1" applyFill="1" applyBorder="1" applyAlignment="1">
      <alignment horizontal="center" vertical="center"/>
    </xf>
    <xf numFmtId="20" fontId="20" fillId="3" borderId="12" xfId="0" applyNumberFormat="1" applyFont="1" applyFill="1" applyBorder="1" applyAlignment="1">
      <alignment horizontal="center" vertical="center"/>
    </xf>
    <xf numFmtId="20" fontId="19" fillId="3" borderId="7" xfId="0" applyNumberFormat="1" applyFont="1" applyFill="1" applyBorder="1" applyAlignment="1">
      <alignment horizontal="center" vertical="center"/>
    </xf>
    <xf numFmtId="20" fontId="19" fillId="3" borderId="9" xfId="0" applyNumberFormat="1" applyFont="1" applyFill="1" applyBorder="1" applyAlignment="1">
      <alignment horizontal="center" vertical="center"/>
    </xf>
    <xf numFmtId="20" fontId="18" fillId="3" borderId="26" xfId="0" applyNumberFormat="1" applyFont="1" applyFill="1" applyBorder="1" applyAlignment="1">
      <alignment horizontal="center" vertical="center"/>
    </xf>
    <xf numFmtId="20" fontId="23" fillId="3" borderId="47" xfId="0" applyNumberFormat="1" applyFont="1" applyFill="1" applyBorder="1" applyAlignment="1">
      <alignment horizontal="center" vertical="center"/>
    </xf>
    <xf numFmtId="20" fontId="23" fillId="3" borderId="21" xfId="0" applyNumberFormat="1" applyFont="1" applyFill="1" applyBorder="1" applyAlignment="1">
      <alignment horizontal="center" vertical="center"/>
    </xf>
    <xf numFmtId="20" fontId="18" fillId="3" borderId="35" xfId="0" applyNumberFormat="1" applyFont="1" applyFill="1" applyBorder="1" applyAlignment="1">
      <alignment horizontal="center" vertical="center"/>
    </xf>
    <xf numFmtId="20" fontId="17" fillId="3" borderId="21" xfId="0" applyNumberFormat="1" applyFont="1" applyFill="1" applyBorder="1" applyAlignment="1">
      <alignment horizontal="center" vertical="center"/>
    </xf>
    <xf numFmtId="20" fontId="17" fillId="3" borderId="22" xfId="0" applyNumberFormat="1" applyFont="1" applyFill="1" applyBorder="1" applyAlignment="1">
      <alignment horizontal="center" vertical="center"/>
    </xf>
    <xf numFmtId="20" fontId="17" fillId="3" borderId="35" xfId="0" applyNumberFormat="1" applyFont="1" applyFill="1" applyBorder="1" applyAlignment="1">
      <alignment horizontal="center" vertical="center"/>
    </xf>
    <xf numFmtId="20" fontId="18" fillId="3" borderId="17" xfId="0" applyNumberFormat="1" applyFont="1" applyFill="1" applyBorder="1" applyAlignment="1">
      <alignment horizontal="center" vertical="center"/>
    </xf>
    <xf numFmtId="20" fontId="24" fillId="3" borderId="31" xfId="0" applyNumberFormat="1" applyFont="1" applyFill="1" applyBorder="1" applyAlignment="1">
      <alignment horizontal="center" vertical="center"/>
    </xf>
    <xf numFmtId="20" fontId="18" fillId="3" borderId="0" xfId="0" applyNumberFormat="1" applyFont="1" applyFill="1" applyAlignment="1">
      <alignment horizontal="center" vertical="center"/>
    </xf>
    <xf numFmtId="20" fontId="18" fillId="3" borderId="19" xfId="0" applyNumberFormat="1" applyFont="1" applyFill="1" applyBorder="1" applyAlignment="1">
      <alignment horizontal="center" vertical="center"/>
    </xf>
    <xf numFmtId="20" fontId="18" fillId="3" borderId="49" xfId="0" applyNumberFormat="1" applyFont="1" applyFill="1" applyBorder="1" applyAlignment="1">
      <alignment horizontal="center" vertical="center"/>
    </xf>
    <xf numFmtId="20" fontId="19" fillId="3" borderId="16" xfId="0" applyNumberFormat="1" applyFont="1" applyFill="1" applyBorder="1" applyAlignment="1">
      <alignment horizontal="center" vertical="center"/>
    </xf>
    <xf numFmtId="20" fontId="19" fillId="3" borderId="59" xfId="0" applyNumberFormat="1" applyFont="1" applyFill="1" applyBorder="1" applyAlignment="1">
      <alignment horizontal="center" vertical="center"/>
    </xf>
    <xf numFmtId="20" fontId="19" fillId="3" borderId="26" xfId="0" applyNumberFormat="1" applyFont="1" applyFill="1" applyBorder="1" applyAlignment="1">
      <alignment horizontal="center" vertical="center"/>
    </xf>
    <xf numFmtId="20" fontId="17" fillId="3" borderId="38" xfId="0" applyNumberFormat="1" applyFont="1" applyFill="1" applyBorder="1" applyAlignment="1">
      <alignment horizontal="center" vertical="center"/>
    </xf>
    <xf numFmtId="20" fontId="17" fillId="3" borderId="19" xfId="0" applyNumberFormat="1" applyFont="1" applyFill="1" applyBorder="1" applyAlignment="1">
      <alignment horizontal="center" vertical="center"/>
    </xf>
    <xf numFmtId="20" fontId="21" fillId="3" borderId="19" xfId="0" applyNumberFormat="1" applyFont="1" applyFill="1" applyBorder="1" applyAlignment="1">
      <alignment horizontal="center" vertical="center"/>
    </xf>
    <xf numFmtId="20" fontId="25" fillId="3" borderId="30" xfId="0" applyNumberFormat="1" applyFont="1" applyFill="1" applyBorder="1" applyAlignment="1">
      <alignment horizontal="center" vertical="center"/>
    </xf>
    <xf numFmtId="20" fontId="25" fillId="3" borderId="34" xfId="0" applyNumberFormat="1" applyFont="1" applyFill="1" applyBorder="1" applyAlignment="1">
      <alignment horizontal="center" vertical="center"/>
    </xf>
    <xf numFmtId="0" fontId="0" fillId="3" borderId="43" xfId="0" applyFill="1" applyBorder="1"/>
    <xf numFmtId="20" fontId="20" fillId="3" borderId="20" xfId="0" applyNumberFormat="1" applyFont="1" applyFill="1" applyBorder="1" applyAlignment="1">
      <alignment horizontal="center" vertical="center"/>
    </xf>
    <xf numFmtId="20" fontId="20" fillId="3" borderId="48" xfId="0" applyNumberFormat="1" applyFont="1" applyFill="1" applyBorder="1" applyAlignment="1">
      <alignment horizontal="center" vertical="center"/>
    </xf>
    <xf numFmtId="20" fontId="18" fillId="3" borderId="20" xfId="0" applyNumberFormat="1" applyFont="1" applyFill="1" applyBorder="1" applyAlignment="1">
      <alignment horizontal="center" vertical="center"/>
    </xf>
    <xf numFmtId="0" fontId="20" fillId="12" borderId="52" xfId="1" applyFont="1" applyFill="1" applyBorder="1" applyAlignment="1">
      <alignment horizontal="left"/>
    </xf>
    <xf numFmtId="20" fontId="20" fillId="3" borderId="37" xfId="0" applyNumberFormat="1" applyFont="1" applyFill="1" applyBorder="1" applyAlignment="1">
      <alignment horizontal="center" vertical="center"/>
    </xf>
    <xf numFmtId="0" fontId="20" fillId="12" borderId="73" xfId="1" applyFont="1" applyFill="1" applyBorder="1" applyAlignment="1">
      <alignment horizontal="left"/>
    </xf>
    <xf numFmtId="0" fontId="20" fillId="12" borderId="6" xfId="0" applyFont="1" applyFill="1" applyBorder="1" applyAlignment="1">
      <alignment horizontal="center" vertical="center"/>
    </xf>
    <xf numFmtId="20" fontId="18" fillId="3" borderId="75" xfId="0" applyNumberFormat="1" applyFont="1" applyFill="1" applyBorder="1" applyAlignment="1">
      <alignment horizontal="center" vertical="center"/>
    </xf>
    <xf numFmtId="20" fontId="18" fillId="3" borderId="76" xfId="0" applyNumberFormat="1" applyFont="1" applyFill="1" applyBorder="1" applyAlignment="1">
      <alignment horizontal="center" vertical="center"/>
    </xf>
    <xf numFmtId="0" fontId="20" fillId="13" borderId="52" xfId="1" applyFont="1" applyFill="1" applyBorder="1" applyAlignment="1">
      <alignment horizontal="left"/>
    </xf>
    <xf numFmtId="0" fontId="20" fillId="13" borderId="18" xfId="0" applyFont="1" applyFill="1" applyBorder="1" applyAlignment="1">
      <alignment horizontal="center" vertical="center"/>
    </xf>
    <xf numFmtId="20" fontId="20" fillId="3" borderId="26" xfId="0" applyNumberFormat="1" applyFont="1" applyFill="1" applyBorder="1" applyAlignment="1">
      <alignment horizontal="center" vertical="center"/>
    </xf>
    <xf numFmtId="20" fontId="22" fillId="3" borderId="31" xfId="0" applyNumberFormat="1" applyFont="1" applyFill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63" xfId="0" applyBorder="1"/>
    <xf numFmtId="0" fontId="20" fillId="3" borderId="14" xfId="1" applyFont="1" applyFill="1" applyBorder="1" applyAlignment="1">
      <alignment horizontal="left"/>
    </xf>
    <xf numFmtId="0" fontId="0" fillId="0" borderId="23" xfId="0" applyBorder="1"/>
    <xf numFmtId="0" fontId="0" fillId="17" borderId="16" xfId="0" applyFill="1" applyBorder="1"/>
    <xf numFmtId="49" fontId="28" fillId="17" borderId="16" xfId="0" applyNumberFormat="1" applyFont="1" applyFill="1" applyBorder="1" applyAlignment="1">
      <alignment horizontal="center" vertical="center"/>
    </xf>
    <xf numFmtId="0" fontId="0" fillId="0" borderId="26" xfId="0" applyBorder="1"/>
    <xf numFmtId="0" fontId="0" fillId="0" borderId="50" xfId="0" applyBorder="1"/>
    <xf numFmtId="20" fontId="20" fillId="3" borderId="38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0" fillId="0" borderId="37" xfId="0" applyBorder="1"/>
    <xf numFmtId="20" fontId="25" fillId="3" borderId="2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2" xfId="0" applyBorder="1"/>
    <xf numFmtId="0" fontId="0" fillId="0" borderId="25" xfId="0" applyBorder="1"/>
    <xf numFmtId="0" fontId="0" fillId="3" borderId="50" xfId="0" applyFill="1" applyBorder="1"/>
    <xf numFmtId="0" fontId="11" fillId="3" borderId="10" xfId="0" applyFont="1" applyFill="1" applyBorder="1"/>
    <xf numFmtId="0" fontId="0" fillId="3" borderId="12" xfId="0" applyFill="1" applyBorder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20" fontId="17" fillId="29" borderId="16" xfId="0" applyNumberFormat="1" applyFont="1" applyFill="1" applyBorder="1" applyAlignment="1">
      <alignment horizontal="center" vertical="center"/>
    </xf>
    <xf numFmtId="20" fontId="17" fillId="29" borderId="31" xfId="0" applyNumberFormat="1" applyFont="1" applyFill="1" applyBorder="1" applyAlignment="1">
      <alignment horizontal="center" vertical="center"/>
    </xf>
    <xf numFmtId="20" fontId="17" fillId="29" borderId="15" xfId="0" applyNumberFormat="1" applyFont="1" applyFill="1" applyBorder="1" applyAlignment="1">
      <alignment horizontal="center" vertical="center"/>
    </xf>
    <xf numFmtId="20" fontId="17" fillId="29" borderId="17" xfId="0" applyNumberFormat="1" applyFont="1" applyFill="1" applyBorder="1" applyAlignment="1">
      <alignment horizontal="center" vertical="center"/>
    </xf>
    <xf numFmtId="20" fontId="17" fillId="29" borderId="30" xfId="0" applyNumberFormat="1" applyFont="1" applyFill="1" applyBorder="1" applyAlignment="1">
      <alignment horizontal="center" vertical="center"/>
    </xf>
    <xf numFmtId="20" fontId="19" fillId="30" borderId="9" xfId="0" applyNumberFormat="1" applyFont="1" applyFill="1" applyBorder="1" applyAlignment="1">
      <alignment horizontal="center" vertical="center"/>
    </xf>
    <xf numFmtId="20" fontId="20" fillId="30" borderId="30" xfId="0" applyNumberFormat="1" applyFont="1" applyFill="1" applyBorder="1" applyAlignment="1">
      <alignment horizontal="center" vertical="center"/>
    </xf>
    <xf numFmtId="20" fontId="20" fillId="31" borderId="30" xfId="0" applyNumberFormat="1" applyFont="1" applyFill="1" applyBorder="1" applyAlignment="1">
      <alignment horizontal="center" vertical="center"/>
    </xf>
    <xf numFmtId="20" fontId="20" fillId="30" borderId="16" xfId="0" applyNumberFormat="1" applyFont="1" applyFill="1" applyBorder="1" applyAlignment="1">
      <alignment horizontal="center" vertical="center"/>
    </xf>
    <xf numFmtId="20" fontId="17" fillId="13" borderId="16" xfId="0" applyNumberFormat="1" applyFont="1" applyFill="1" applyBorder="1" applyAlignment="1">
      <alignment horizontal="center" vertical="center"/>
    </xf>
    <xf numFmtId="20" fontId="20" fillId="33" borderId="15" xfId="0" applyNumberFormat="1" applyFont="1" applyFill="1" applyBorder="1" applyAlignment="1">
      <alignment horizontal="center" vertical="center"/>
    </xf>
    <xf numFmtId="20" fontId="20" fillId="33" borderId="17" xfId="0" applyNumberFormat="1" applyFont="1" applyFill="1" applyBorder="1" applyAlignment="1">
      <alignment horizontal="center" vertical="center"/>
    </xf>
    <xf numFmtId="0" fontId="0" fillId="34" borderId="0" xfId="0" applyFill="1"/>
    <xf numFmtId="20" fontId="20" fillId="33" borderId="16" xfId="0" applyNumberFormat="1" applyFont="1" applyFill="1" applyBorder="1" applyAlignment="1">
      <alignment horizontal="center" vertical="center"/>
    </xf>
    <xf numFmtId="20" fontId="17" fillId="33" borderId="30" xfId="0" applyNumberFormat="1" applyFont="1" applyFill="1" applyBorder="1" applyAlignment="1">
      <alignment horizontal="center" vertical="center"/>
    </xf>
    <xf numFmtId="20" fontId="17" fillId="33" borderId="16" xfId="0" applyNumberFormat="1" applyFont="1" applyFill="1" applyBorder="1" applyAlignment="1">
      <alignment horizontal="center" vertical="center"/>
    </xf>
    <xf numFmtId="20" fontId="20" fillId="33" borderId="30" xfId="0" applyNumberFormat="1" applyFont="1" applyFill="1" applyBorder="1" applyAlignment="1">
      <alignment horizontal="center" vertical="center"/>
    </xf>
    <xf numFmtId="20" fontId="17" fillId="30" borderId="47" xfId="0" applyNumberFormat="1" applyFont="1" applyFill="1" applyBorder="1" applyAlignment="1">
      <alignment horizontal="center" vertical="center"/>
    </xf>
    <xf numFmtId="20" fontId="17" fillId="30" borderId="21" xfId="0" applyNumberFormat="1" applyFont="1" applyFill="1" applyBorder="1" applyAlignment="1">
      <alignment horizontal="center" vertical="center"/>
    </xf>
    <xf numFmtId="20" fontId="19" fillId="30" borderId="8" xfId="0" applyNumberFormat="1" applyFont="1" applyFill="1" applyBorder="1" applyAlignment="1">
      <alignment horizontal="center" vertical="center"/>
    </xf>
    <xf numFmtId="20" fontId="19" fillId="0" borderId="7" xfId="0" applyNumberFormat="1" applyFont="1" applyBorder="1" applyAlignment="1">
      <alignment horizontal="center" vertical="center"/>
    </xf>
    <xf numFmtId="20" fontId="19" fillId="0" borderId="8" xfId="0" applyNumberFormat="1" applyFont="1" applyBorder="1" applyAlignment="1">
      <alignment horizontal="center" vertical="center"/>
    </xf>
    <xf numFmtId="20" fontId="20" fillId="33" borderId="19" xfId="0" applyNumberFormat="1" applyFont="1" applyFill="1" applyBorder="1" applyAlignment="1">
      <alignment horizontal="center" vertical="center"/>
    </xf>
    <xf numFmtId="20" fontId="22" fillId="33" borderId="16" xfId="0" applyNumberFormat="1" applyFont="1" applyFill="1" applyBorder="1" applyAlignment="1">
      <alignment horizontal="center" vertical="center"/>
    </xf>
    <xf numFmtId="0" fontId="0" fillId="35" borderId="0" xfId="0" applyFill="1"/>
    <xf numFmtId="0" fontId="0" fillId="36" borderId="0" xfId="0" applyFill="1"/>
    <xf numFmtId="20" fontId="20" fillId="37" borderId="15" xfId="0" applyNumberFormat="1" applyFont="1" applyFill="1" applyBorder="1" applyAlignment="1">
      <alignment horizontal="center" vertical="center"/>
    </xf>
    <xf numFmtId="0" fontId="3" fillId="7" borderId="7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/>
    </xf>
    <xf numFmtId="0" fontId="18" fillId="12" borderId="29" xfId="0" applyFont="1" applyFill="1" applyBorder="1" applyAlignment="1">
      <alignment horizontal="center" vertical="center" wrapText="1"/>
    </xf>
    <xf numFmtId="0" fontId="18" fillId="12" borderId="36" xfId="0" applyFont="1" applyFill="1" applyBorder="1" applyAlignment="1">
      <alignment horizontal="center" vertical="center" wrapText="1"/>
    </xf>
    <xf numFmtId="0" fontId="20" fillId="12" borderId="36" xfId="0" applyFont="1" applyFill="1" applyBorder="1" applyAlignment="1">
      <alignment horizontal="center" vertical="center" wrapText="1"/>
    </xf>
    <xf numFmtId="0" fontId="20" fillId="12" borderId="36" xfId="0" applyFont="1" applyFill="1" applyBorder="1" applyAlignment="1">
      <alignment horizontal="center" vertical="center"/>
    </xf>
    <xf numFmtId="0" fontId="20" fillId="12" borderId="52" xfId="0" applyFont="1" applyFill="1" applyBorder="1" applyAlignment="1">
      <alignment horizontal="center" vertical="center"/>
    </xf>
    <xf numFmtId="20" fontId="20" fillId="31" borderId="16" xfId="0" applyNumberFormat="1" applyFont="1" applyFill="1" applyBorder="1" applyAlignment="1">
      <alignment horizontal="center" vertical="center"/>
    </xf>
    <xf numFmtId="20" fontId="20" fillId="26" borderId="16" xfId="0" applyNumberFormat="1" applyFont="1" applyFill="1" applyBorder="1" applyAlignment="1">
      <alignment horizontal="center" vertical="center"/>
    </xf>
    <xf numFmtId="20" fontId="20" fillId="37" borderId="16" xfId="0" applyNumberFormat="1" applyFont="1" applyFill="1" applyBorder="1" applyAlignment="1">
      <alignment horizontal="center" vertical="center"/>
    </xf>
    <xf numFmtId="20" fontId="20" fillId="14" borderId="16" xfId="0" applyNumberFormat="1" applyFont="1" applyFill="1" applyBorder="1" applyAlignment="1">
      <alignment horizontal="center" vertical="center"/>
    </xf>
    <xf numFmtId="20" fontId="20" fillId="25" borderId="16" xfId="0" applyNumberFormat="1" applyFont="1" applyFill="1" applyBorder="1" applyAlignment="1">
      <alignment horizontal="center" vertical="center"/>
    </xf>
    <xf numFmtId="20" fontId="25" fillId="33" borderId="16" xfId="0" applyNumberFormat="1" applyFont="1" applyFill="1" applyBorder="1" applyAlignment="1">
      <alignment horizontal="center" vertical="center"/>
    </xf>
    <xf numFmtId="20" fontId="20" fillId="26" borderId="19" xfId="0" applyNumberFormat="1" applyFont="1" applyFill="1" applyBorder="1" applyAlignment="1">
      <alignment horizontal="center" vertical="center"/>
    </xf>
    <xf numFmtId="20" fontId="20" fillId="25" borderId="19" xfId="0" applyNumberFormat="1" applyFont="1" applyFill="1" applyBorder="1" applyAlignment="1">
      <alignment horizontal="center" vertical="center"/>
    </xf>
    <xf numFmtId="20" fontId="20" fillId="26" borderId="15" xfId="0" applyNumberFormat="1" applyFont="1" applyFill="1" applyBorder="1" applyAlignment="1">
      <alignment horizontal="center" vertical="center"/>
    </xf>
    <xf numFmtId="20" fontId="20" fillId="35" borderId="11" xfId="0" applyNumberFormat="1" applyFont="1" applyFill="1" applyBorder="1" applyAlignment="1">
      <alignment horizontal="center" vertical="center"/>
    </xf>
    <xf numFmtId="20" fontId="20" fillId="25" borderId="49" xfId="0" applyNumberFormat="1" applyFont="1" applyFill="1" applyBorder="1" applyAlignment="1">
      <alignment horizontal="center" vertical="center"/>
    </xf>
    <xf numFmtId="20" fontId="20" fillId="35" borderId="34" xfId="0" applyNumberFormat="1" applyFont="1" applyFill="1" applyBorder="1" applyAlignment="1">
      <alignment horizontal="center" vertical="center"/>
    </xf>
    <xf numFmtId="20" fontId="20" fillId="35" borderId="21" xfId="0" applyNumberFormat="1" applyFont="1" applyFill="1" applyBorder="1" applyAlignment="1">
      <alignment horizontal="center" vertical="center"/>
    </xf>
    <xf numFmtId="20" fontId="25" fillId="3" borderId="38" xfId="0" applyNumberFormat="1" applyFont="1" applyFill="1" applyBorder="1" applyAlignment="1">
      <alignment horizontal="center" vertical="center"/>
    </xf>
    <xf numFmtId="20" fontId="25" fillId="3" borderId="49" xfId="0" applyNumberFormat="1" applyFont="1" applyFill="1" applyBorder="1" applyAlignment="1">
      <alignment horizontal="center" vertical="center"/>
    </xf>
    <xf numFmtId="20" fontId="25" fillId="3" borderId="48" xfId="0" applyNumberFormat="1" applyFont="1" applyFill="1" applyBorder="1" applyAlignment="1">
      <alignment horizontal="center" vertical="center"/>
    </xf>
    <xf numFmtId="20" fontId="25" fillId="3" borderId="20" xfId="0" applyNumberFormat="1" applyFont="1" applyFill="1" applyBorder="1" applyAlignment="1">
      <alignment horizontal="center" vertical="center"/>
    </xf>
    <xf numFmtId="20" fontId="21" fillId="33" borderId="8" xfId="0" applyNumberFormat="1" applyFont="1" applyFill="1" applyBorder="1" applyAlignment="1">
      <alignment horizontal="center" vertical="center"/>
    </xf>
    <xf numFmtId="20" fontId="20" fillId="33" borderId="8" xfId="0" applyNumberFormat="1" applyFont="1" applyFill="1" applyBorder="1" applyAlignment="1">
      <alignment horizontal="center" vertical="center"/>
    </xf>
    <xf numFmtId="20" fontId="20" fillId="33" borderId="9" xfId="0" applyNumberFormat="1" applyFont="1" applyFill="1" applyBorder="1" applyAlignment="1">
      <alignment horizontal="center" vertical="center"/>
    </xf>
    <xf numFmtId="20" fontId="25" fillId="33" borderId="11" xfId="0" applyNumberFormat="1" applyFont="1" applyFill="1" applyBorder="1" applyAlignment="1">
      <alignment horizontal="center" vertical="center"/>
    </xf>
    <xf numFmtId="20" fontId="20" fillId="33" borderId="11" xfId="0" applyNumberFormat="1" applyFont="1" applyFill="1" applyBorder="1" applyAlignment="1">
      <alignment horizontal="center" vertical="center"/>
    </xf>
    <xf numFmtId="20" fontId="18" fillId="15" borderId="16" xfId="0" applyNumberFormat="1" applyFont="1" applyFill="1" applyBorder="1" applyAlignment="1">
      <alignment horizontal="center" vertical="center"/>
    </xf>
    <xf numFmtId="20" fontId="20" fillId="15" borderId="30" xfId="0" applyNumberFormat="1" applyFont="1" applyFill="1" applyBorder="1" applyAlignment="1">
      <alignment horizontal="center" vertical="center"/>
    </xf>
    <xf numFmtId="20" fontId="20" fillId="15" borderId="16" xfId="0" applyNumberFormat="1" applyFont="1" applyFill="1" applyBorder="1" applyAlignment="1">
      <alignment horizontal="center" vertical="center"/>
    </xf>
    <xf numFmtId="0" fontId="20" fillId="10" borderId="78" xfId="1" applyFont="1" applyFill="1" applyBorder="1" applyAlignment="1">
      <alignment vertical="center"/>
    </xf>
    <xf numFmtId="0" fontId="20" fillId="10" borderId="79" xfId="0" applyFont="1" applyFill="1" applyBorder="1" applyAlignment="1">
      <alignment horizontal="center" vertical="center"/>
    </xf>
    <xf numFmtId="0" fontId="20" fillId="10" borderId="80" xfId="1" applyFont="1" applyFill="1" applyBorder="1" applyAlignment="1">
      <alignment horizontal="left"/>
    </xf>
    <xf numFmtId="0" fontId="20" fillId="10" borderId="81" xfId="0" applyFont="1" applyFill="1" applyBorder="1" applyAlignment="1">
      <alignment horizontal="center" vertical="center"/>
    </xf>
    <xf numFmtId="0" fontId="20" fillId="10" borderId="82" xfId="1" applyFont="1" applyFill="1" applyBorder="1" applyAlignment="1">
      <alignment horizontal="left"/>
    </xf>
    <xf numFmtId="0" fontId="20" fillId="10" borderId="83" xfId="0" applyFont="1" applyFill="1" applyBorder="1" applyAlignment="1">
      <alignment horizontal="center" vertical="center"/>
    </xf>
    <xf numFmtId="0" fontId="20" fillId="10" borderId="84" xfId="1" applyFont="1" applyFill="1" applyBorder="1" applyAlignment="1">
      <alignment horizontal="left"/>
    </xf>
    <xf numFmtId="0" fontId="20" fillId="10" borderId="85" xfId="0" applyFont="1" applyFill="1" applyBorder="1" applyAlignment="1">
      <alignment horizontal="center" vertical="center"/>
    </xf>
    <xf numFmtId="20" fontId="26" fillId="15" borderId="16" xfId="0" applyNumberFormat="1" applyFont="1" applyFill="1" applyBorder="1" applyAlignment="1">
      <alignment horizontal="center" vertical="center"/>
    </xf>
    <xf numFmtId="20" fontId="29" fillId="39" borderId="7" xfId="0" applyNumberFormat="1" applyFont="1" applyFill="1" applyBorder="1" applyAlignment="1">
      <alignment horizontal="center" vertical="center"/>
    </xf>
    <xf numFmtId="20" fontId="29" fillId="39" borderId="8" xfId="0" applyNumberFormat="1" applyFont="1" applyFill="1" applyBorder="1" applyAlignment="1">
      <alignment horizontal="center" vertical="center"/>
    </xf>
    <xf numFmtId="20" fontId="30" fillId="39" borderId="8" xfId="0" applyNumberFormat="1" applyFont="1" applyFill="1" applyBorder="1" applyAlignment="1">
      <alignment horizontal="center" vertical="center"/>
    </xf>
    <xf numFmtId="20" fontId="29" fillId="39" borderId="15" xfId="0" applyNumberFormat="1" applyFont="1" applyFill="1" applyBorder="1" applyAlignment="1">
      <alignment horizontal="center" vertical="center"/>
    </xf>
    <xf numFmtId="20" fontId="29" fillId="39" borderId="16" xfId="0" applyNumberFormat="1" applyFont="1" applyFill="1" applyBorder="1" applyAlignment="1">
      <alignment horizontal="center" vertical="center"/>
    </xf>
    <xf numFmtId="20" fontId="29" fillId="39" borderId="10" xfId="0" applyNumberFormat="1" applyFont="1" applyFill="1" applyBorder="1" applyAlignment="1">
      <alignment horizontal="center" vertical="center"/>
    </xf>
    <xf numFmtId="20" fontId="29" fillId="39" borderId="11" xfId="0" applyNumberFormat="1" applyFont="1" applyFill="1" applyBorder="1" applyAlignment="1">
      <alignment horizontal="center" vertical="center"/>
    </xf>
    <xf numFmtId="20" fontId="20" fillId="39" borderId="16" xfId="0" applyNumberFormat="1" applyFont="1" applyFill="1" applyBorder="1" applyAlignment="1">
      <alignment horizontal="center" vertical="center"/>
    </xf>
    <xf numFmtId="20" fontId="20" fillId="40" borderId="11" xfId="0" applyNumberFormat="1" applyFont="1" applyFill="1" applyBorder="1" applyAlignment="1">
      <alignment horizontal="center" vertical="center"/>
    </xf>
    <xf numFmtId="20" fontId="20" fillId="30" borderId="21" xfId="0" applyNumberFormat="1" applyFont="1" applyFill="1" applyBorder="1" applyAlignment="1">
      <alignment horizontal="center" vertical="center"/>
    </xf>
    <xf numFmtId="20" fontId="20" fillId="30" borderId="22" xfId="0" applyNumberFormat="1" applyFont="1" applyFill="1" applyBorder="1" applyAlignment="1">
      <alignment horizontal="center" vertical="center"/>
    </xf>
    <xf numFmtId="20" fontId="17" fillId="13" borderId="15" xfId="0" applyNumberFormat="1" applyFont="1" applyFill="1" applyBorder="1" applyAlignment="1">
      <alignment horizontal="center" vertical="center"/>
    </xf>
    <xf numFmtId="20" fontId="25" fillId="3" borderId="19" xfId="0" applyNumberFormat="1" applyFont="1" applyFill="1" applyBorder="1" applyAlignment="1">
      <alignment horizontal="center" vertical="center"/>
    </xf>
    <xf numFmtId="20" fontId="20" fillId="40" borderId="19" xfId="0" applyNumberFormat="1" applyFont="1" applyFill="1" applyBorder="1" applyAlignment="1">
      <alignment horizontal="center" vertical="center"/>
    </xf>
    <xf numFmtId="20" fontId="20" fillId="40" borderId="20" xfId="0" applyNumberFormat="1" applyFont="1" applyFill="1" applyBorder="1" applyAlignment="1">
      <alignment horizontal="center" vertical="center"/>
    </xf>
    <xf numFmtId="20" fontId="20" fillId="40" borderId="21" xfId="0" applyNumberFormat="1" applyFont="1" applyFill="1" applyBorder="1" applyAlignment="1">
      <alignment horizontal="center" vertical="center"/>
    </xf>
    <xf numFmtId="20" fontId="20" fillId="40" borderId="22" xfId="0" applyNumberFormat="1" applyFont="1" applyFill="1" applyBorder="1" applyAlignment="1">
      <alignment horizontal="center" vertical="center"/>
    </xf>
    <xf numFmtId="20" fontId="20" fillId="30" borderId="48" xfId="0" applyNumberFormat="1" applyFont="1" applyFill="1" applyBorder="1" applyAlignment="1">
      <alignment horizontal="center" vertical="center"/>
    </xf>
    <xf numFmtId="20" fontId="20" fillId="3" borderId="7" xfId="0" applyNumberFormat="1" applyFont="1" applyFill="1" applyBorder="1" applyAlignment="1">
      <alignment horizontal="center" vertical="center"/>
    </xf>
    <xf numFmtId="20" fontId="20" fillId="3" borderId="9" xfId="0" applyNumberFormat="1" applyFont="1" applyFill="1" applyBorder="1" applyAlignment="1">
      <alignment horizontal="center" vertical="center"/>
    </xf>
    <xf numFmtId="20" fontId="18" fillId="3" borderId="17" xfId="0" applyNumberFormat="1" applyFont="1" applyFill="1" applyBorder="1" applyAlignment="1">
      <alignment horizontal="center"/>
    </xf>
    <xf numFmtId="20" fontId="17" fillId="13" borderId="17" xfId="0" applyNumberFormat="1" applyFont="1" applyFill="1" applyBorder="1" applyAlignment="1">
      <alignment horizontal="center" vertical="center"/>
    </xf>
    <xf numFmtId="20" fontId="20" fillId="14" borderId="15" xfId="0" applyNumberFormat="1" applyFont="1" applyFill="1" applyBorder="1" applyAlignment="1">
      <alignment horizontal="center" vertical="center"/>
    </xf>
    <xf numFmtId="20" fontId="18" fillId="3" borderId="15" xfId="0" applyNumberFormat="1" applyFont="1" applyFill="1" applyBorder="1" applyAlignment="1">
      <alignment horizontal="center" vertical="center"/>
    </xf>
    <xf numFmtId="20" fontId="20" fillId="30" borderId="15" xfId="0" applyNumberFormat="1" applyFont="1" applyFill="1" applyBorder="1" applyAlignment="1">
      <alignment horizontal="center" vertical="center"/>
    </xf>
    <xf numFmtId="20" fontId="17" fillId="30" borderId="16" xfId="0" applyNumberFormat="1" applyFont="1" applyFill="1" applyBorder="1" applyAlignment="1">
      <alignment horizontal="center" vertical="center"/>
    </xf>
    <xf numFmtId="20" fontId="20" fillId="33" borderId="31" xfId="0" applyNumberFormat="1" applyFont="1" applyFill="1" applyBorder="1" applyAlignment="1">
      <alignment horizontal="center" vertical="center"/>
    </xf>
    <xf numFmtId="20" fontId="17" fillId="33" borderId="15" xfId="0" applyNumberFormat="1" applyFont="1" applyFill="1" applyBorder="1" applyAlignment="1">
      <alignment horizontal="center" vertical="center"/>
    </xf>
    <xf numFmtId="20" fontId="20" fillId="14" borderId="17" xfId="0" applyNumberFormat="1" applyFont="1" applyFill="1" applyBorder="1" applyAlignment="1">
      <alignment horizontal="center" vertical="center"/>
    </xf>
    <xf numFmtId="20" fontId="20" fillId="14" borderId="12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26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18" fillId="3" borderId="50" xfId="0" applyFont="1" applyFill="1" applyBorder="1" applyAlignment="1">
      <alignment horizontal="center" vertical="center"/>
    </xf>
    <xf numFmtId="20" fontId="20" fillId="30" borderId="50" xfId="0" applyNumberFormat="1" applyFont="1" applyFill="1" applyBorder="1" applyAlignment="1">
      <alignment horizontal="center" vertical="center"/>
    </xf>
    <xf numFmtId="20" fontId="20" fillId="30" borderId="74" xfId="0" applyNumberFormat="1" applyFont="1" applyFill="1" applyBorder="1" applyAlignment="1">
      <alignment horizontal="center" vertical="center"/>
    </xf>
    <xf numFmtId="20" fontId="20" fillId="30" borderId="75" xfId="0" applyNumberFormat="1" applyFont="1" applyFill="1" applyBorder="1" applyAlignment="1">
      <alignment horizontal="center" vertical="center"/>
    </xf>
    <xf numFmtId="20" fontId="20" fillId="35" borderId="31" xfId="0" applyNumberFormat="1" applyFont="1" applyFill="1" applyBorder="1" applyAlignment="1">
      <alignment horizontal="center" vertical="center"/>
    </xf>
    <xf numFmtId="20" fontId="24" fillId="35" borderId="31" xfId="0" applyNumberFormat="1" applyFont="1" applyFill="1" applyBorder="1" applyAlignment="1">
      <alignment horizontal="center" vertical="center"/>
    </xf>
    <xf numFmtId="20" fontId="17" fillId="13" borderId="31" xfId="0" applyNumberFormat="1" applyFont="1" applyFill="1" applyBorder="1" applyAlignment="1">
      <alignment horizontal="center" vertical="center"/>
    </xf>
    <xf numFmtId="20" fontId="20" fillId="35" borderId="15" xfId="0" applyNumberFormat="1" applyFont="1" applyFill="1" applyBorder="1" applyAlignment="1">
      <alignment horizontal="center" vertical="center"/>
    </xf>
    <xf numFmtId="20" fontId="24" fillId="35" borderId="15" xfId="0" applyNumberFormat="1" applyFont="1" applyFill="1" applyBorder="1" applyAlignment="1">
      <alignment horizontal="center" vertical="center"/>
    </xf>
    <xf numFmtId="20" fontId="20" fillId="14" borderId="31" xfId="0" applyNumberFormat="1" applyFont="1" applyFill="1" applyBorder="1" applyAlignment="1">
      <alignment horizontal="center" vertical="center"/>
    </xf>
    <xf numFmtId="20" fontId="20" fillId="14" borderId="7" xfId="0" applyNumberFormat="1" applyFont="1" applyFill="1" applyBorder="1" applyAlignment="1">
      <alignment horizontal="center" vertical="center"/>
    </xf>
    <xf numFmtId="20" fontId="17" fillId="33" borderId="9" xfId="0" applyNumberFormat="1" applyFont="1" applyFill="1" applyBorder="1" applyAlignment="1">
      <alignment horizontal="center" vertical="center"/>
    </xf>
    <xf numFmtId="20" fontId="20" fillId="24" borderId="15" xfId="0" applyNumberFormat="1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/>
    </xf>
    <xf numFmtId="20" fontId="20" fillId="33" borderId="26" xfId="0" applyNumberFormat="1" applyFont="1" applyFill="1" applyBorder="1" applyAlignment="1">
      <alignment horizontal="center" vertical="center"/>
    </xf>
    <xf numFmtId="20" fontId="22" fillId="33" borderId="31" xfId="0" applyNumberFormat="1" applyFont="1" applyFill="1" applyBorder="1" applyAlignment="1">
      <alignment horizontal="center" vertical="center"/>
    </xf>
    <xf numFmtId="20" fontId="20" fillId="33" borderId="50" xfId="0" applyNumberFormat="1" applyFont="1" applyFill="1" applyBorder="1" applyAlignment="1">
      <alignment horizontal="center" vertical="center"/>
    </xf>
    <xf numFmtId="0" fontId="20" fillId="10" borderId="63" xfId="1" applyFont="1" applyFill="1" applyBorder="1" applyAlignment="1">
      <alignment horizontal="left"/>
    </xf>
    <xf numFmtId="0" fontId="20" fillId="10" borderId="51" xfId="0" applyFont="1" applyFill="1" applyBorder="1" applyAlignment="1">
      <alignment horizontal="center" vertical="center"/>
    </xf>
    <xf numFmtId="20" fontId="20" fillId="3" borderId="25" xfId="0" applyNumberFormat="1" applyFont="1" applyFill="1" applyBorder="1" applyAlignment="1">
      <alignment horizontal="center" vertical="center"/>
    </xf>
    <xf numFmtId="20" fontId="18" fillId="3" borderId="30" xfId="0" applyNumberFormat="1" applyFont="1" applyFill="1" applyBorder="1" applyAlignment="1">
      <alignment horizontal="center" vertical="center"/>
    </xf>
    <xf numFmtId="20" fontId="17" fillId="13" borderId="30" xfId="0" applyNumberFormat="1" applyFont="1" applyFill="1" applyBorder="1" applyAlignment="1">
      <alignment horizontal="center" vertical="center"/>
    </xf>
    <xf numFmtId="20" fontId="20" fillId="14" borderId="30" xfId="0" applyNumberFormat="1" applyFont="1" applyFill="1" applyBorder="1" applyAlignment="1">
      <alignment horizontal="center" vertical="center"/>
    </xf>
    <xf numFmtId="20" fontId="20" fillId="30" borderId="37" xfId="0" applyNumberFormat="1" applyFont="1" applyFill="1" applyBorder="1" applyAlignment="1">
      <alignment horizontal="center" vertical="center"/>
    </xf>
    <xf numFmtId="20" fontId="20" fillId="30" borderId="38" xfId="0" applyNumberFormat="1" applyFont="1" applyFill="1" applyBorder="1" applyAlignment="1">
      <alignment horizontal="center" vertical="center"/>
    </xf>
    <xf numFmtId="0" fontId="35" fillId="41" borderId="64" xfId="0" applyFont="1" applyFill="1" applyBorder="1" applyAlignment="1">
      <alignment horizontal="left" vertical="center"/>
    </xf>
    <xf numFmtId="0" fontId="24" fillId="41" borderId="86" xfId="0" applyFont="1" applyFill="1" applyBorder="1" applyAlignment="1">
      <alignment horizontal="center" vertical="center" wrapText="1"/>
    </xf>
    <xf numFmtId="0" fontId="35" fillId="41" borderId="65" xfId="0" applyFont="1" applyFill="1" applyBorder="1" applyAlignment="1">
      <alignment horizontal="left" vertical="center"/>
    </xf>
    <xf numFmtId="0" fontId="24" fillId="41" borderId="87" xfId="0" applyFont="1" applyFill="1" applyBorder="1" applyAlignment="1">
      <alignment horizontal="center" vertical="center" wrapText="1"/>
    </xf>
    <xf numFmtId="0" fontId="36" fillId="41" borderId="65" xfId="0" applyFont="1" applyFill="1" applyBorder="1" applyAlignment="1">
      <alignment horizontal="left" vertical="center"/>
    </xf>
    <xf numFmtId="0" fontId="17" fillId="41" borderId="87" xfId="0" applyFont="1" applyFill="1" applyBorder="1" applyAlignment="1">
      <alignment horizontal="center" vertical="center" wrapText="1"/>
    </xf>
    <xf numFmtId="0" fontId="36" fillId="41" borderId="65" xfId="1" applyFont="1" applyFill="1" applyBorder="1" applyAlignment="1">
      <alignment horizontal="left"/>
    </xf>
    <xf numFmtId="0" fontId="17" fillId="41" borderId="87" xfId="0" applyFont="1" applyFill="1" applyBorder="1" applyAlignment="1">
      <alignment horizontal="center" vertical="center"/>
    </xf>
    <xf numFmtId="0" fontId="36" fillId="41" borderId="36" xfId="1" applyFont="1" applyFill="1" applyBorder="1" applyAlignment="1">
      <alignment horizontal="left"/>
    </xf>
    <xf numFmtId="0" fontId="17" fillId="41" borderId="14" xfId="0" applyFont="1" applyFill="1" applyBorder="1" applyAlignment="1">
      <alignment horizontal="center" vertical="center"/>
    </xf>
    <xf numFmtId="0" fontId="36" fillId="41" borderId="52" xfId="1" applyFont="1" applyFill="1" applyBorder="1" applyAlignment="1">
      <alignment horizontal="left"/>
    </xf>
    <xf numFmtId="0" fontId="17" fillId="41" borderId="18" xfId="0" applyFont="1" applyFill="1" applyBorder="1" applyAlignment="1">
      <alignment horizontal="center" vertical="center"/>
    </xf>
    <xf numFmtId="0" fontId="36" fillId="35" borderId="66" xfId="1" applyFont="1" applyFill="1" applyBorder="1" applyAlignment="1">
      <alignment horizontal="left" vertical="center"/>
    </xf>
    <xf numFmtId="0" fontId="17" fillId="35" borderId="88" xfId="0" applyFont="1" applyFill="1" applyBorder="1" applyAlignment="1">
      <alignment horizontal="center" vertical="center"/>
    </xf>
    <xf numFmtId="0" fontId="36" fillId="35" borderId="65" xfId="1" applyFont="1" applyFill="1" applyBorder="1" applyAlignment="1">
      <alignment horizontal="left"/>
    </xf>
    <xf numFmtId="0" fontId="17" fillId="35" borderId="87" xfId="0" applyFont="1" applyFill="1" applyBorder="1" applyAlignment="1">
      <alignment horizontal="center" vertical="center"/>
    </xf>
    <xf numFmtId="0" fontId="36" fillId="35" borderId="56" xfId="1" applyFont="1" applyFill="1" applyBorder="1" applyAlignment="1">
      <alignment horizontal="left"/>
    </xf>
    <xf numFmtId="0" fontId="17" fillId="35" borderId="23" xfId="0" applyFont="1" applyFill="1" applyBorder="1" applyAlignment="1">
      <alignment horizontal="center" vertical="center"/>
    </xf>
    <xf numFmtId="0" fontId="17" fillId="35" borderId="18" xfId="0" applyFont="1" applyFill="1" applyBorder="1" applyAlignment="1">
      <alignment horizontal="center" vertical="center"/>
    </xf>
    <xf numFmtId="20" fontId="17" fillId="42" borderId="17" xfId="0" applyNumberFormat="1" applyFont="1" applyFill="1" applyBorder="1" applyAlignment="1">
      <alignment horizontal="center" vertical="center"/>
    </xf>
    <xf numFmtId="20" fontId="17" fillId="33" borderId="25" xfId="0" applyNumberFormat="1" applyFont="1" applyFill="1" applyBorder="1" applyAlignment="1">
      <alignment horizontal="center" vertical="center"/>
    </xf>
    <xf numFmtId="20" fontId="17" fillId="42" borderId="30" xfId="0" applyNumberFormat="1" applyFont="1" applyFill="1" applyBorder="1" applyAlignment="1">
      <alignment horizontal="center" vertical="center"/>
    </xf>
    <xf numFmtId="20" fontId="20" fillId="35" borderId="17" xfId="0" applyNumberFormat="1" applyFont="1" applyFill="1" applyBorder="1" applyAlignment="1">
      <alignment horizontal="center" vertical="center"/>
    </xf>
    <xf numFmtId="20" fontId="24" fillId="35" borderId="17" xfId="0" applyNumberFormat="1" applyFont="1" applyFill="1" applyBorder="1" applyAlignment="1">
      <alignment horizontal="center" vertical="center"/>
    </xf>
    <xf numFmtId="20" fontId="17" fillId="35" borderId="25" xfId="0" applyNumberFormat="1" applyFont="1" applyFill="1" applyBorder="1" applyAlignment="1">
      <alignment horizontal="center" vertical="center"/>
    </xf>
    <xf numFmtId="20" fontId="22" fillId="33" borderId="30" xfId="0" applyNumberFormat="1" applyFont="1" applyFill="1" applyBorder="1" applyAlignment="1">
      <alignment horizontal="center" vertical="center"/>
    </xf>
    <xf numFmtId="20" fontId="20" fillId="24" borderId="31" xfId="0" applyNumberFormat="1" applyFont="1" applyFill="1" applyBorder="1" applyAlignment="1">
      <alignment horizontal="center" vertical="center"/>
    </xf>
    <xf numFmtId="20" fontId="17" fillId="33" borderId="7" xfId="0" applyNumberFormat="1" applyFont="1" applyFill="1" applyBorder="1" applyAlignment="1">
      <alignment horizontal="center" vertical="center"/>
    </xf>
    <xf numFmtId="20" fontId="17" fillId="42" borderId="15" xfId="0" applyNumberFormat="1" applyFont="1" applyFill="1" applyBorder="1" applyAlignment="1">
      <alignment horizontal="center" vertical="center"/>
    </xf>
    <xf numFmtId="20" fontId="20" fillId="33" borderId="10" xfId="0" applyNumberFormat="1" applyFont="1" applyFill="1" applyBorder="1" applyAlignment="1">
      <alignment horizontal="center" vertical="center"/>
    </xf>
    <xf numFmtId="20" fontId="18" fillId="14" borderId="31" xfId="0" applyNumberFormat="1" applyFont="1" applyFill="1" applyBorder="1" applyAlignment="1">
      <alignment horizontal="center" vertical="center"/>
    </xf>
    <xf numFmtId="20" fontId="20" fillId="37" borderId="48" xfId="0" applyNumberFormat="1" applyFont="1" applyFill="1" applyBorder="1" applyAlignment="1">
      <alignment horizontal="center" vertical="center"/>
    </xf>
    <xf numFmtId="20" fontId="20" fillId="37" borderId="20" xfId="0" applyNumberFormat="1" applyFont="1" applyFill="1" applyBorder="1" applyAlignment="1">
      <alignment horizontal="center" vertical="center"/>
    </xf>
    <xf numFmtId="20" fontId="18" fillId="3" borderId="31" xfId="0" applyNumberFormat="1" applyFont="1" applyFill="1" applyBorder="1" applyAlignment="1">
      <alignment horizontal="center" vertical="center"/>
    </xf>
    <xf numFmtId="20" fontId="20" fillId="30" borderId="31" xfId="0" applyNumberFormat="1" applyFont="1" applyFill="1" applyBorder="1" applyAlignment="1">
      <alignment horizontal="center" vertical="center"/>
    </xf>
    <xf numFmtId="20" fontId="20" fillId="30" borderId="49" xfId="0" applyNumberFormat="1" applyFont="1" applyFill="1" applyBorder="1" applyAlignment="1">
      <alignment horizontal="center" vertical="center"/>
    </xf>
    <xf numFmtId="20" fontId="18" fillId="14" borderId="15" xfId="0" applyNumberFormat="1" applyFont="1" applyFill="1" applyBorder="1" applyAlignment="1">
      <alignment horizontal="center" vertical="center"/>
    </xf>
    <xf numFmtId="20" fontId="18" fillId="14" borderId="17" xfId="0" applyNumberFormat="1" applyFont="1" applyFill="1" applyBorder="1" applyAlignment="1">
      <alignment horizontal="center" vertical="center"/>
    </xf>
    <xf numFmtId="20" fontId="18" fillId="3" borderId="15" xfId="0" applyNumberFormat="1" applyFont="1" applyFill="1" applyBorder="1" applyAlignment="1">
      <alignment horizontal="center"/>
    </xf>
    <xf numFmtId="20" fontId="18" fillId="33" borderId="15" xfId="0" applyNumberFormat="1" applyFont="1" applyFill="1" applyBorder="1" applyAlignment="1">
      <alignment horizontal="center"/>
    </xf>
    <xf numFmtId="20" fontId="17" fillId="35" borderId="15" xfId="0" applyNumberFormat="1" applyFont="1" applyFill="1" applyBorder="1" applyAlignment="1">
      <alignment horizontal="center" vertical="center"/>
    </xf>
    <xf numFmtId="20" fontId="17" fillId="35" borderId="17" xfId="0" applyNumberFormat="1" applyFont="1" applyFill="1" applyBorder="1" applyAlignment="1">
      <alignment horizontal="center" vertical="center"/>
    </xf>
    <xf numFmtId="20" fontId="17" fillId="35" borderId="26" xfId="0" applyNumberFormat="1" applyFont="1" applyFill="1" applyBorder="1" applyAlignment="1">
      <alignment horizontal="center" vertical="center"/>
    </xf>
    <xf numFmtId="20" fontId="17" fillId="33" borderId="26" xfId="0" applyNumberFormat="1" applyFont="1" applyFill="1" applyBorder="1" applyAlignment="1">
      <alignment horizontal="center" vertical="center"/>
    </xf>
    <xf numFmtId="20" fontId="17" fillId="42" borderId="31" xfId="0" applyNumberFormat="1" applyFont="1" applyFill="1" applyBorder="1" applyAlignment="1">
      <alignment horizontal="center" vertical="center"/>
    </xf>
    <xf numFmtId="20" fontId="20" fillId="14" borderId="10" xfId="0" applyNumberFormat="1" applyFont="1" applyFill="1" applyBorder="1" applyAlignment="1">
      <alignment horizontal="center" vertical="center"/>
    </xf>
    <xf numFmtId="20" fontId="22" fillId="33" borderId="15" xfId="0" applyNumberFormat="1" applyFont="1" applyFill="1" applyBorder="1" applyAlignment="1">
      <alignment horizontal="center" vertical="center"/>
    </xf>
    <xf numFmtId="20" fontId="20" fillId="23" borderId="30" xfId="0" applyNumberFormat="1" applyFont="1" applyFill="1" applyBorder="1" applyAlignment="1">
      <alignment horizontal="center" vertical="center"/>
    </xf>
    <xf numFmtId="20" fontId="20" fillId="23" borderId="31" xfId="0" applyNumberFormat="1" applyFont="1" applyFill="1" applyBorder="1" applyAlignment="1">
      <alignment horizontal="center" vertical="center"/>
    </xf>
    <xf numFmtId="20" fontId="20" fillId="23" borderId="15" xfId="0" applyNumberFormat="1" applyFont="1" applyFill="1" applyBorder="1" applyAlignment="1">
      <alignment horizontal="center" vertical="center"/>
    </xf>
    <xf numFmtId="20" fontId="20" fillId="23" borderId="17" xfId="0" applyNumberFormat="1" applyFont="1" applyFill="1" applyBorder="1" applyAlignment="1">
      <alignment horizontal="center" vertical="center"/>
    </xf>
    <xf numFmtId="20" fontId="20" fillId="43" borderId="30" xfId="0" applyNumberFormat="1" applyFont="1" applyFill="1" applyBorder="1" applyAlignment="1">
      <alignment horizontal="center" vertical="center"/>
    </xf>
    <xf numFmtId="20" fontId="20" fillId="43" borderId="31" xfId="0" applyNumberFormat="1" applyFont="1" applyFill="1" applyBorder="1" applyAlignment="1">
      <alignment horizontal="center" vertical="center"/>
    </xf>
    <xf numFmtId="20" fontId="20" fillId="43" borderId="15" xfId="0" applyNumberFormat="1" applyFont="1" applyFill="1" applyBorder="1" applyAlignment="1">
      <alignment horizontal="center" vertical="center"/>
    </xf>
    <xf numFmtId="20" fontId="20" fillId="43" borderId="17" xfId="0" applyNumberFormat="1" applyFont="1" applyFill="1" applyBorder="1" applyAlignment="1">
      <alignment horizontal="center" vertical="center"/>
    </xf>
    <xf numFmtId="20" fontId="17" fillId="3" borderId="48" xfId="0" applyNumberFormat="1" applyFont="1" applyFill="1" applyBorder="1" applyAlignment="1">
      <alignment horizontal="center" vertical="center"/>
    </xf>
    <xf numFmtId="20" fontId="17" fillId="3" borderId="20" xfId="0" applyNumberFormat="1" applyFont="1" applyFill="1" applyBorder="1" applyAlignment="1">
      <alignment horizontal="center" vertical="center"/>
    </xf>
    <xf numFmtId="20" fontId="20" fillId="3" borderId="61" xfId="0" applyNumberFormat="1" applyFont="1" applyFill="1" applyBorder="1" applyAlignment="1">
      <alignment horizontal="center" vertical="center"/>
    </xf>
    <xf numFmtId="20" fontId="17" fillId="3" borderId="36" xfId="0" applyNumberFormat="1" applyFont="1" applyFill="1" applyBorder="1" applyAlignment="1">
      <alignment horizontal="center" vertical="center"/>
    </xf>
    <xf numFmtId="20" fontId="20" fillId="30" borderId="7" xfId="0" applyNumberFormat="1" applyFont="1" applyFill="1" applyBorder="1" applyAlignment="1">
      <alignment horizontal="center" vertical="center"/>
    </xf>
    <xf numFmtId="20" fontId="20" fillId="30" borderId="9" xfId="0" applyNumberFormat="1" applyFont="1" applyFill="1" applyBorder="1" applyAlignment="1">
      <alignment horizontal="center" vertical="center"/>
    </xf>
    <xf numFmtId="20" fontId="22" fillId="3" borderId="60" xfId="0" applyNumberFormat="1" applyFont="1" applyFill="1" applyBorder="1" applyAlignment="1">
      <alignment horizontal="center" vertical="center"/>
    </xf>
    <xf numFmtId="0" fontId="20" fillId="18" borderId="77" xfId="1" applyFont="1" applyFill="1" applyBorder="1" applyAlignment="1">
      <alignment vertical="center"/>
    </xf>
    <xf numFmtId="0" fontId="20" fillId="18" borderId="54" xfId="1" applyFont="1" applyFill="1" applyBorder="1" applyAlignment="1">
      <alignment horizontal="left"/>
    </xf>
    <xf numFmtId="20" fontId="20" fillId="30" borderId="17" xfId="0" applyNumberFormat="1" applyFont="1" applyFill="1" applyBorder="1" applyAlignment="1">
      <alignment horizontal="center" vertical="center"/>
    </xf>
    <xf numFmtId="20" fontId="20" fillId="30" borderId="20" xfId="0" applyNumberFormat="1" applyFont="1" applyFill="1" applyBorder="1" applyAlignment="1">
      <alignment horizontal="center" vertical="center"/>
    </xf>
    <xf numFmtId="20" fontId="17" fillId="33" borderId="17" xfId="0" applyNumberFormat="1" applyFont="1" applyFill="1" applyBorder="1" applyAlignment="1">
      <alignment horizontal="center" vertical="center"/>
    </xf>
    <xf numFmtId="0" fontId="34" fillId="21" borderId="0" xfId="0" applyFont="1" applyFill="1" applyAlignment="1">
      <alignment horizontal="center"/>
    </xf>
    <xf numFmtId="0" fontId="0" fillId="43" borderId="35" xfId="0" applyFill="1" applyBorder="1"/>
    <xf numFmtId="0" fontId="0" fillId="43" borderId="39" xfId="0" applyFill="1" applyBorder="1"/>
    <xf numFmtId="0" fontId="0" fillId="43" borderId="34" xfId="0" applyFill="1" applyBorder="1"/>
    <xf numFmtId="0" fontId="0" fillId="14" borderId="55" xfId="0" applyFill="1" applyBorder="1"/>
    <xf numFmtId="0" fontId="0" fillId="14" borderId="90" xfId="0" applyFill="1" applyBorder="1"/>
    <xf numFmtId="0" fontId="0" fillId="24" borderId="55" xfId="0" applyFill="1" applyBorder="1"/>
    <xf numFmtId="0" fontId="0" fillId="24" borderId="90" xfId="0" applyFill="1" applyBorder="1"/>
    <xf numFmtId="0" fontId="0" fillId="44" borderId="55" xfId="0" applyFill="1" applyBorder="1"/>
    <xf numFmtId="0" fontId="0" fillId="44" borderId="90" xfId="0" applyFill="1" applyBorder="1"/>
    <xf numFmtId="0" fontId="0" fillId="35" borderId="55" xfId="0" applyFill="1" applyBorder="1"/>
    <xf numFmtId="0" fontId="0" fillId="35" borderId="90" xfId="0" applyFill="1" applyBorder="1"/>
    <xf numFmtId="0" fontId="0" fillId="23" borderId="49" xfId="0" applyFill="1" applyBorder="1"/>
    <xf numFmtId="0" fontId="0" fillId="23" borderId="77" xfId="0" applyFill="1" applyBorder="1"/>
    <xf numFmtId="0" fontId="0" fillId="23" borderId="38" xfId="0" applyFill="1" applyBorder="1"/>
    <xf numFmtId="20" fontId="17" fillId="3" borderId="54" xfId="0" applyNumberFormat="1" applyFont="1" applyFill="1" applyBorder="1" applyAlignment="1">
      <alignment horizontal="center" vertical="center"/>
    </xf>
    <xf numFmtId="0" fontId="0" fillId="14" borderId="0" xfId="0" applyFill="1"/>
    <xf numFmtId="0" fontId="0" fillId="44" borderId="0" xfId="0" applyFill="1"/>
    <xf numFmtId="20" fontId="20" fillId="30" borderId="60" xfId="0" applyNumberFormat="1" applyFont="1" applyFill="1" applyBorder="1" applyAlignment="1">
      <alignment horizontal="center" vertical="center"/>
    </xf>
    <xf numFmtId="20" fontId="17" fillId="42" borderId="60" xfId="0" applyNumberFormat="1" applyFont="1" applyFill="1" applyBorder="1" applyAlignment="1">
      <alignment horizontal="center" vertical="center"/>
    </xf>
    <xf numFmtId="20" fontId="17" fillId="42" borderId="61" xfId="0" applyNumberFormat="1" applyFont="1" applyFill="1" applyBorder="1" applyAlignment="1">
      <alignment horizontal="center" vertical="center"/>
    </xf>
    <xf numFmtId="0" fontId="20" fillId="35" borderId="18" xfId="1" applyFont="1" applyFill="1" applyBorder="1" applyAlignment="1">
      <alignment horizontal="left"/>
    </xf>
    <xf numFmtId="20" fontId="20" fillId="30" borderId="61" xfId="0" applyNumberFormat="1" applyFont="1" applyFill="1" applyBorder="1" applyAlignment="1">
      <alignment horizontal="center" vertical="center"/>
    </xf>
    <xf numFmtId="20" fontId="20" fillId="14" borderId="50" xfId="0" applyNumberFormat="1" applyFont="1" applyFill="1" applyBorder="1" applyAlignment="1">
      <alignment horizontal="center" vertical="center"/>
    </xf>
    <xf numFmtId="20" fontId="20" fillId="3" borderId="29" xfId="0" applyNumberFormat="1" applyFont="1" applyFill="1" applyBorder="1" applyAlignment="1">
      <alignment horizontal="center" vertical="center"/>
    </xf>
    <xf numFmtId="20" fontId="22" fillId="30" borderId="60" xfId="0" applyNumberFormat="1" applyFont="1" applyFill="1" applyBorder="1" applyAlignment="1">
      <alignment horizontal="center" vertical="center"/>
    </xf>
    <xf numFmtId="20" fontId="22" fillId="30" borderId="61" xfId="0" applyNumberFormat="1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/>
    </xf>
    <xf numFmtId="20" fontId="20" fillId="14" borderId="48" xfId="0" applyNumberFormat="1" applyFont="1" applyFill="1" applyBorder="1" applyAlignment="1">
      <alignment horizontal="center" vertical="center"/>
    </xf>
    <xf numFmtId="20" fontId="20" fillId="14" borderId="20" xfId="0" applyNumberFormat="1" applyFont="1" applyFill="1" applyBorder="1" applyAlignment="1">
      <alignment horizontal="center" vertical="center"/>
    </xf>
    <xf numFmtId="20" fontId="20" fillId="14" borderId="9" xfId="0" applyNumberFormat="1" applyFont="1" applyFill="1" applyBorder="1" applyAlignment="1">
      <alignment horizontal="center" vertical="center"/>
    </xf>
    <xf numFmtId="20" fontId="20" fillId="37" borderId="7" xfId="0" applyNumberFormat="1" applyFont="1" applyFill="1" applyBorder="1" applyAlignment="1">
      <alignment horizontal="center" vertical="center"/>
    </xf>
    <xf numFmtId="20" fontId="20" fillId="37" borderId="9" xfId="0" applyNumberFormat="1" applyFont="1" applyFill="1" applyBorder="1" applyAlignment="1">
      <alignment horizontal="center" vertical="center"/>
    </xf>
    <xf numFmtId="20" fontId="20" fillId="14" borderId="60" xfId="0" applyNumberFormat="1" applyFont="1" applyFill="1" applyBorder="1" applyAlignment="1">
      <alignment horizontal="center" vertical="center"/>
    </xf>
    <xf numFmtId="20" fontId="20" fillId="14" borderId="61" xfId="0" applyNumberFormat="1" applyFont="1" applyFill="1" applyBorder="1" applyAlignment="1">
      <alignment horizontal="center" vertical="center"/>
    </xf>
    <xf numFmtId="20" fontId="17" fillId="33" borderId="48" xfId="0" applyNumberFormat="1" applyFont="1" applyFill="1" applyBorder="1" applyAlignment="1">
      <alignment horizontal="center" vertical="center"/>
    </xf>
    <xf numFmtId="20" fontId="17" fillId="33" borderId="20" xfId="0" applyNumberFormat="1" applyFont="1" applyFill="1" applyBorder="1" applyAlignment="1">
      <alignment horizontal="center" vertical="center"/>
    </xf>
    <xf numFmtId="20" fontId="20" fillId="33" borderId="7" xfId="0" applyNumberFormat="1" applyFont="1" applyFill="1" applyBorder="1" applyAlignment="1">
      <alignment horizontal="center" vertical="center"/>
    </xf>
    <xf numFmtId="20" fontId="20" fillId="33" borderId="60" xfId="0" applyNumberFormat="1" applyFont="1" applyFill="1" applyBorder="1" applyAlignment="1">
      <alignment horizontal="center" vertical="center"/>
    </xf>
    <xf numFmtId="20" fontId="20" fillId="33" borderId="61" xfId="0" applyNumberFormat="1" applyFont="1" applyFill="1" applyBorder="1" applyAlignment="1">
      <alignment horizontal="center" vertical="center"/>
    </xf>
    <xf numFmtId="20" fontId="18" fillId="33" borderId="15" xfId="0" applyNumberFormat="1" applyFont="1" applyFill="1" applyBorder="1" applyAlignment="1">
      <alignment horizontal="center" vertical="center"/>
    </xf>
    <xf numFmtId="20" fontId="20" fillId="14" borderId="47" xfId="0" applyNumberFormat="1" applyFont="1" applyFill="1" applyBorder="1" applyAlignment="1">
      <alignment horizontal="center" vertical="center"/>
    </xf>
    <xf numFmtId="20" fontId="20" fillId="14" borderId="22" xfId="0" applyNumberFormat="1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26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/>
    </xf>
    <xf numFmtId="0" fontId="20" fillId="3" borderId="25" xfId="0" applyFont="1" applyFill="1" applyBorder="1" applyAlignment="1">
      <alignment horizontal="center" vertical="center"/>
    </xf>
    <xf numFmtId="0" fontId="20" fillId="3" borderId="50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18" fillId="3" borderId="37" xfId="0" applyFont="1" applyFill="1" applyBorder="1" applyAlignment="1">
      <alignment horizontal="center" vertical="center"/>
    </xf>
    <xf numFmtId="0" fontId="18" fillId="41" borderId="53" xfId="0" applyFont="1" applyFill="1" applyBorder="1" applyAlignment="1">
      <alignment vertical="center"/>
    </xf>
    <xf numFmtId="0" fontId="24" fillId="41" borderId="89" xfId="0" applyFont="1" applyFill="1" applyBorder="1" applyAlignment="1">
      <alignment horizontal="center" vertical="center" wrapText="1"/>
    </xf>
    <xf numFmtId="0" fontId="18" fillId="41" borderId="54" xfId="0" applyFont="1" applyFill="1" applyBorder="1" applyAlignment="1">
      <alignment vertical="center"/>
    </xf>
    <xf numFmtId="0" fontId="24" fillId="41" borderId="80" xfId="0" applyFont="1" applyFill="1" applyBorder="1" applyAlignment="1">
      <alignment horizontal="center" vertical="center" wrapText="1"/>
    </xf>
    <xf numFmtId="0" fontId="20" fillId="41" borderId="54" xfId="0" applyFont="1" applyFill="1" applyBorder="1" applyAlignment="1">
      <alignment vertical="center"/>
    </xf>
    <xf numFmtId="0" fontId="17" fillId="41" borderId="80" xfId="0" applyFont="1" applyFill="1" applyBorder="1" applyAlignment="1">
      <alignment horizontal="center" vertical="center" wrapText="1"/>
    </xf>
    <xf numFmtId="0" fontId="20" fillId="41" borderId="54" xfId="1" applyFont="1" applyFill="1" applyBorder="1" applyAlignment="1">
      <alignment horizontal="left"/>
    </xf>
    <xf numFmtId="0" fontId="17" fillId="41" borderId="80" xfId="0" applyFont="1" applyFill="1" applyBorder="1" applyAlignment="1">
      <alignment horizontal="center" vertical="center"/>
    </xf>
    <xf numFmtId="0" fontId="20" fillId="41" borderId="39" xfId="1" applyFont="1" applyFill="1" applyBorder="1" applyAlignment="1">
      <alignment horizontal="left"/>
    </xf>
    <xf numFmtId="0" fontId="17" fillId="41" borderId="82" xfId="0" applyFont="1" applyFill="1" applyBorder="1" applyAlignment="1">
      <alignment horizontal="center" vertical="center"/>
    </xf>
    <xf numFmtId="0" fontId="17" fillId="46" borderId="2" xfId="0" applyFont="1" applyFill="1" applyBorder="1" applyAlignment="1">
      <alignment horizontal="center"/>
    </xf>
    <xf numFmtId="0" fontId="20" fillId="3" borderId="5" xfId="0" applyFont="1" applyFill="1" applyBorder="1" applyAlignment="1">
      <alignment horizontal="center" vertical="center"/>
    </xf>
    <xf numFmtId="0" fontId="20" fillId="3" borderId="46" xfId="0" applyFont="1" applyFill="1" applyBorder="1" applyAlignment="1">
      <alignment horizontal="center" vertical="center"/>
    </xf>
    <xf numFmtId="0" fontId="25" fillId="3" borderId="44" xfId="0" applyFont="1" applyFill="1" applyBorder="1" applyAlignment="1">
      <alignment horizontal="center" vertical="center"/>
    </xf>
    <xf numFmtId="0" fontId="25" fillId="3" borderId="46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5" fillId="3" borderId="10" xfId="0" applyFont="1" applyFill="1" applyBorder="1" applyAlignment="1">
      <alignment horizontal="center" vertical="center"/>
    </xf>
    <xf numFmtId="0" fontId="25" fillId="3" borderId="12" xfId="0" applyFont="1" applyFill="1" applyBorder="1" applyAlignment="1">
      <alignment horizontal="center" vertical="center"/>
    </xf>
    <xf numFmtId="20" fontId="20" fillId="47" borderId="47" xfId="0" applyNumberFormat="1" applyFont="1" applyFill="1" applyBorder="1" applyAlignment="1">
      <alignment horizontal="center" vertical="center"/>
    </xf>
    <xf numFmtId="20" fontId="20" fillId="47" borderId="22" xfId="0" applyNumberFormat="1" applyFont="1" applyFill="1" applyBorder="1" applyAlignment="1">
      <alignment horizontal="center" vertical="center"/>
    </xf>
    <xf numFmtId="20" fontId="20" fillId="0" borderId="48" xfId="0" applyNumberFormat="1" applyFont="1" applyBorder="1" applyAlignment="1">
      <alignment horizontal="center" vertical="center"/>
    </xf>
    <xf numFmtId="20" fontId="20" fillId="0" borderId="20" xfId="0" applyNumberFormat="1" applyFont="1" applyBorder="1" applyAlignment="1">
      <alignment horizontal="center" vertical="center"/>
    </xf>
    <xf numFmtId="20" fontId="18" fillId="3" borderId="37" xfId="0" applyNumberFormat="1" applyFont="1" applyFill="1" applyBorder="1" applyAlignment="1">
      <alignment horizontal="center" vertical="center"/>
    </xf>
    <xf numFmtId="20" fontId="18" fillId="3" borderId="50" xfId="0" applyNumberFormat="1" applyFont="1" applyFill="1" applyBorder="1" applyAlignment="1">
      <alignment horizontal="center" vertical="center"/>
    </xf>
    <xf numFmtId="20" fontId="18" fillId="14" borderId="30" xfId="0" applyNumberFormat="1" applyFont="1" applyFill="1" applyBorder="1" applyAlignment="1">
      <alignment horizontal="center" vertical="center"/>
    </xf>
    <xf numFmtId="0" fontId="20" fillId="35" borderId="64" xfId="1" applyFont="1" applyFill="1" applyBorder="1" applyAlignment="1">
      <alignment vertical="center"/>
    </xf>
    <xf numFmtId="0" fontId="17" fillId="35" borderId="64" xfId="0" applyFont="1" applyFill="1" applyBorder="1" applyAlignment="1">
      <alignment horizontal="center" vertical="center"/>
    </xf>
    <xf numFmtId="0" fontId="20" fillId="35" borderId="65" xfId="1" applyFont="1" applyFill="1" applyBorder="1" applyAlignment="1">
      <alignment horizontal="left"/>
    </xf>
    <xf numFmtId="0" fontId="20" fillId="35" borderId="68" xfId="1" applyFont="1" applyFill="1" applyBorder="1" applyAlignment="1">
      <alignment horizontal="left"/>
    </xf>
    <xf numFmtId="0" fontId="17" fillId="35" borderId="91" xfId="0" applyFont="1" applyFill="1" applyBorder="1" applyAlignment="1">
      <alignment horizontal="center" vertical="center"/>
    </xf>
    <xf numFmtId="0" fontId="17" fillId="45" borderId="1" xfId="0" applyFont="1" applyFill="1" applyBorder="1" applyAlignment="1">
      <alignment horizontal="center"/>
    </xf>
    <xf numFmtId="0" fontId="17" fillId="45" borderId="24" xfId="0" applyFont="1" applyFill="1" applyBorder="1" applyAlignment="1">
      <alignment horizontal="center"/>
    </xf>
    <xf numFmtId="20" fontId="18" fillId="33" borderId="31" xfId="0" applyNumberFormat="1" applyFont="1" applyFill="1" applyBorder="1" applyAlignment="1">
      <alignment horizontal="center" vertical="center"/>
    </xf>
    <xf numFmtId="20" fontId="17" fillId="15" borderId="60" xfId="0" applyNumberFormat="1" applyFont="1" applyFill="1" applyBorder="1" applyAlignment="1">
      <alignment horizontal="center" vertical="center"/>
    </xf>
    <xf numFmtId="20" fontId="17" fillId="15" borderId="61" xfId="0" applyNumberFormat="1" applyFont="1" applyFill="1" applyBorder="1" applyAlignment="1">
      <alignment horizontal="center" vertical="center"/>
    </xf>
    <xf numFmtId="20" fontId="33" fillId="20" borderId="15" xfId="0" applyNumberFormat="1" applyFont="1" applyFill="1" applyBorder="1" applyAlignment="1">
      <alignment horizontal="center" vertical="center"/>
    </xf>
    <xf numFmtId="20" fontId="33" fillId="20" borderId="17" xfId="0" applyNumberFormat="1" applyFont="1" applyFill="1" applyBorder="1" applyAlignment="1">
      <alignment horizontal="center" vertical="center"/>
    </xf>
    <xf numFmtId="20" fontId="37" fillId="20" borderId="15" xfId="0" applyNumberFormat="1" applyFont="1" applyFill="1" applyBorder="1" applyAlignment="1">
      <alignment horizontal="center" vertical="center"/>
    </xf>
    <xf numFmtId="20" fontId="37" fillId="20" borderId="17" xfId="0" applyNumberFormat="1" applyFont="1" applyFill="1" applyBorder="1" applyAlignment="1">
      <alignment horizontal="center" vertical="center"/>
    </xf>
    <xf numFmtId="20" fontId="37" fillId="20" borderId="10" xfId="0" applyNumberFormat="1" applyFont="1" applyFill="1" applyBorder="1" applyAlignment="1">
      <alignment horizontal="center" vertical="center"/>
    </xf>
    <xf numFmtId="20" fontId="37" fillId="20" borderId="12" xfId="0" applyNumberFormat="1" applyFont="1" applyFill="1" applyBorder="1" applyAlignment="1">
      <alignment horizontal="center" vertical="center"/>
    </xf>
    <xf numFmtId="20" fontId="38" fillId="44" borderId="0" xfId="0" applyNumberFormat="1" applyFont="1" applyFill="1"/>
    <xf numFmtId="0" fontId="38" fillId="44" borderId="0" xfId="0" applyFont="1" applyFill="1"/>
    <xf numFmtId="0" fontId="17" fillId="0" borderId="27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20" fontId="20" fillId="0" borderId="16" xfId="0" applyNumberFormat="1" applyFont="1" applyBorder="1" applyAlignment="1">
      <alignment horizontal="center" vertical="center"/>
    </xf>
    <xf numFmtId="20" fontId="20" fillId="0" borderId="17" xfId="0" applyNumberFormat="1" applyFont="1" applyBorder="1" applyAlignment="1">
      <alignment horizontal="center" vertical="center"/>
    </xf>
    <xf numFmtId="20" fontId="20" fillId="0" borderId="30" xfId="0" applyNumberFormat="1" applyFont="1" applyBorder="1" applyAlignment="1">
      <alignment horizontal="center" vertical="center"/>
    </xf>
    <xf numFmtId="20" fontId="20" fillId="0" borderId="19" xfId="0" applyNumberFormat="1" applyFont="1" applyBorder="1" applyAlignment="1">
      <alignment horizontal="center" vertical="center"/>
    </xf>
    <xf numFmtId="20" fontId="17" fillId="0" borderId="16" xfId="0" applyNumberFormat="1" applyFont="1" applyBorder="1" applyAlignment="1">
      <alignment horizontal="center" vertical="center"/>
    </xf>
    <xf numFmtId="20" fontId="17" fillId="0" borderId="17" xfId="0" applyNumberFormat="1" applyFont="1" applyBorder="1" applyAlignment="1">
      <alignment horizontal="center" vertical="center"/>
    </xf>
    <xf numFmtId="20" fontId="17" fillId="0" borderId="30" xfId="0" applyNumberFormat="1" applyFont="1" applyBorder="1" applyAlignment="1">
      <alignment horizontal="center" vertical="center"/>
    </xf>
    <xf numFmtId="20" fontId="20" fillId="0" borderId="49" xfId="0" applyNumberFormat="1" applyFont="1" applyBorder="1" applyAlignment="1">
      <alignment horizontal="center" vertical="center"/>
    </xf>
    <xf numFmtId="20" fontId="20" fillId="0" borderId="8" xfId="0" applyNumberFormat="1" applyFont="1" applyBorder="1" applyAlignment="1">
      <alignment horizontal="center" vertical="center"/>
    </xf>
    <xf numFmtId="20" fontId="20" fillId="0" borderId="9" xfId="0" applyNumberFormat="1" applyFont="1" applyBorder="1" applyAlignment="1">
      <alignment horizontal="center" vertical="center"/>
    </xf>
    <xf numFmtId="20" fontId="19" fillId="0" borderId="25" xfId="0" applyNumberFormat="1" applyFont="1" applyBorder="1" applyAlignment="1">
      <alignment horizontal="center" vertical="center"/>
    </xf>
    <xf numFmtId="20" fontId="20" fillId="5" borderId="15" xfId="0" applyNumberFormat="1" applyFont="1" applyFill="1" applyBorder="1" applyAlignment="1">
      <alignment horizontal="center" vertical="center"/>
    </xf>
    <xf numFmtId="20" fontId="20" fillId="5" borderId="16" xfId="0" applyNumberFormat="1" applyFont="1" applyFill="1" applyBorder="1" applyAlignment="1">
      <alignment horizontal="center" vertical="center"/>
    </xf>
    <xf numFmtId="20" fontId="20" fillId="5" borderId="17" xfId="0" applyNumberFormat="1" applyFont="1" applyFill="1" applyBorder="1" applyAlignment="1">
      <alignment horizontal="center" vertical="center"/>
    </xf>
    <xf numFmtId="20" fontId="20" fillId="5" borderId="30" xfId="0" applyNumberFormat="1" applyFont="1" applyFill="1" applyBorder="1" applyAlignment="1">
      <alignment horizontal="center" vertical="center"/>
    </xf>
    <xf numFmtId="20" fontId="20" fillId="5" borderId="1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0" fillId="10" borderId="18" xfId="1" applyFont="1" applyFill="1" applyBorder="1" applyAlignment="1">
      <alignment horizontal="left"/>
    </xf>
    <xf numFmtId="20" fontId="20" fillId="5" borderId="8" xfId="0" applyNumberFormat="1" applyFont="1" applyFill="1" applyBorder="1" applyAlignment="1">
      <alignment horizontal="center" vertical="center"/>
    </xf>
    <xf numFmtId="20" fontId="17" fillId="5" borderId="16" xfId="0" applyNumberFormat="1" applyFont="1" applyFill="1" applyBorder="1" applyAlignment="1">
      <alignment horizontal="center" vertical="center"/>
    </xf>
    <xf numFmtId="20" fontId="20" fillId="5" borderId="10" xfId="0" applyNumberFormat="1" applyFont="1" applyFill="1" applyBorder="1" applyAlignment="1">
      <alignment horizontal="center" vertical="center"/>
    </xf>
    <xf numFmtId="20" fontId="21" fillId="5" borderId="8" xfId="0" applyNumberFormat="1" applyFont="1" applyFill="1" applyBorder="1" applyAlignment="1">
      <alignment horizontal="center" vertical="center"/>
    </xf>
    <xf numFmtId="20" fontId="22" fillId="5" borderId="16" xfId="0" applyNumberFormat="1" applyFont="1" applyFill="1" applyBorder="1" applyAlignment="1">
      <alignment horizontal="center" vertical="center"/>
    </xf>
    <xf numFmtId="20" fontId="25" fillId="5" borderId="16" xfId="0" applyNumberFormat="1" applyFont="1" applyFill="1" applyBorder="1" applyAlignment="1">
      <alignment horizontal="center" vertical="center"/>
    </xf>
    <xf numFmtId="20" fontId="25" fillId="5" borderId="15" xfId="0" applyNumberFormat="1" applyFont="1" applyFill="1" applyBorder="1" applyAlignment="1">
      <alignment horizontal="center" vertical="center"/>
    </xf>
    <xf numFmtId="20" fontId="25" fillId="5" borderId="10" xfId="0" applyNumberFormat="1" applyFont="1" applyFill="1" applyBorder="1" applyAlignment="1">
      <alignment horizontal="center" vertical="center"/>
    </xf>
    <xf numFmtId="20" fontId="25" fillId="5" borderId="11" xfId="0" applyNumberFormat="1" applyFont="1" applyFill="1" applyBorder="1" applyAlignment="1">
      <alignment horizontal="center" vertical="center"/>
    </xf>
    <xf numFmtId="20" fontId="17" fillId="5" borderId="7" xfId="0" applyNumberFormat="1" applyFont="1" applyFill="1" applyBorder="1" applyAlignment="1">
      <alignment horizontal="center" vertical="center"/>
    </xf>
    <xf numFmtId="20" fontId="17" fillId="5" borderId="8" xfId="0" applyNumberFormat="1" applyFont="1" applyFill="1" applyBorder="1" applyAlignment="1">
      <alignment horizontal="center" vertical="center"/>
    </xf>
    <xf numFmtId="20" fontId="17" fillId="5" borderId="9" xfId="0" applyNumberFormat="1" applyFont="1" applyFill="1" applyBorder="1" applyAlignment="1">
      <alignment horizontal="center" vertical="center"/>
    </xf>
    <xf numFmtId="20" fontId="22" fillId="5" borderId="17" xfId="0" applyNumberFormat="1" applyFont="1" applyFill="1" applyBorder="1" applyAlignment="1">
      <alignment horizontal="center" vertical="center"/>
    </xf>
    <xf numFmtId="20" fontId="20" fillId="5" borderId="12" xfId="0" applyNumberFormat="1" applyFont="1" applyFill="1" applyBorder="1" applyAlignment="1">
      <alignment horizontal="center" vertical="center"/>
    </xf>
    <xf numFmtId="20" fontId="20" fillId="5" borderId="9" xfId="0" applyNumberFormat="1" applyFont="1" applyFill="1" applyBorder="1" applyAlignment="1">
      <alignment horizontal="center" vertical="center"/>
    </xf>
    <xf numFmtId="20" fontId="20" fillId="5" borderId="38" xfId="0" applyNumberFormat="1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0" fontId="17" fillId="48" borderId="1" xfId="0" applyFont="1" applyFill="1" applyBorder="1" applyAlignment="1">
      <alignment horizontal="center"/>
    </xf>
    <xf numFmtId="0" fontId="24" fillId="49" borderId="14" xfId="0" applyFont="1" applyFill="1" applyBorder="1" applyAlignment="1">
      <alignment horizontal="center" vertical="center" wrapText="1"/>
    </xf>
    <xf numFmtId="0" fontId="17" fillId="49" borderId="14" xfId="0" applyFont="1" applyFill="1" applyBorder="1" applyAlignment="1">
      <alignment horizontal="center" vertical="center" wrapText="1"/>
    </xf>
    <xf numFmtId="0" fontId="17" fillId="49" borderId="14" xfId="0" applyFont="1" applyFill="1" applyBorder="1" applyAlignment="1">
      <alignment horizontal="center" vertical="center"/>
    </xf>
    <xf numFmtId="0" fontId="20" fillId="10" borderId="54" xfId="0" applyFont="1" applyFill="1" applyBorder="1" applyAlignment="1">
      <alignment horizontal="center" vertical="center"/>
    </xf>
    <xf numFmtId="0" fontId="20" fillId="10" borderId="13" xfId="1" applyFont="1" applyFill="1" applyBorder="1" applyAlignment="1">
      <alignment horizontal="left" vertical="center"/>
    </xf>
    <xf numFmtId="0" fontId="18" fillId="49" borderId="36" xfId="0" applyFont="1" applyFill="1" applyBorder="1" applyAlignment="1">
      <alignment horizontal="left" vertical="center"/>
    </xf>
    <xf numFmtId="0" fontId="20" fillId="49" borderId="36" xfId="1" applyFont="1" applyFill="1" applyBorder="1" applyAlignment="1">
      <alignment horizontal="left"/>
    </xf>
    <xf numFmtId="20" fontId="26" fillId="3" borderId="16" xfId="0" applyNumberFormat="1" applyFont="1" applyFill="1" applyBorder="1" applyAlignment="1">
      <alignment horizontal="center" vertical="center"/>
    </xf>
    <xf numFmtId="0" fontId="18" fillId="12" borderId="29" xfId="0" applyFont="1" applyFill="1" applyBorder="1" applyAlignment="1">
      <alignment horizontal="left" vertical="center"/>
    </xf>
    <xf numFmtId="0" fontId="18" fillId="12" borderId="36" xfId="0" applyFont="1" applyFill="1" applyBorder="1" applyAlignment="1">
      <alignment horizontal="left" vertical="center"/>
    </xf>
    <xf numFmtId="0" fontId="20" fillId="12" borderId="36" xfId="0" applyFont="1" applyFill="1" applyBorder="1" applyAlignment="1">
      <alignment horizontal="left" vertical="center"/>
    </xf>
    <xf numFmtId="0" fontId="20" fillId="10" borderId="77" xfId="0" applyFont="1" applyFill="1" applyBorder="1" applyAlignment="1">
      <alignment horizontal="center" vertical="center"/>
    </xf>
    <xf numFmtId="0" fontId="20" fillId="10" borderId="72" xfId="0" applyFont="1" applyFill="1" applyBorder="1" applyAlignment="1">
      <alignment horizontal="center" vertical="center"/>
    </xf>
    <xf numFmtId="20" fontId="20" fillId="3" borderId="75" xfId="0" applyNumberFormat="1" applyFont="1" applyFill="1" applyBorder="1" applyAlignment="1">
      <alignment horizontal="center" vertical="center"/>
    </xf>
    <xf numFmtId="20" fontId="17" fillId="38" borderId="16" xfId="0" applyNumberFormat="1" applyFont="1" applyFill="1" applyBorder="1" applyAlignment="1">
      <alignment horizontal="center" vertical="center"/>
    </xf>
    <xf numFmtId="20" fontId="17" fillId="38" borderId="30" xfId="0" applyNumberFormat="1" applyFont="1" applyFill="1" applyBorder="1" applyAlignment="1">
      <alignment horizontal="center" vertical="center"/>
    </xf>
    <xf numFmtId="20" fontId="19" fillId="15" borderId="8" xfId="0" applyNumberFormat="1" applyFont="1" applyFill="1" applyBorder="1" applyAlignment="1">
      <alignment horizontal="center" vertical="center"/>
    </xf>
    <xf numFmtId="20" fontId="19" fillId="15" borderId="9" xfId="0" applyNumberFormat="1" applyFont="1" applyFill="1" applyBorder="1" applyAlignment="1">
      <alignment horizontal="center" vertical="center"/>
    </xf>
    <xf numFmtId="0" fontId="0" fillId="51" borderId="0" xfId="0" applyFill="1"/>
    <xf numFmtId="20" fontId="33" fillId="30" borderId="30" xfId="0" applyNumberFormat="1" applyFont="1" applyFill="1" applyBorder="1" applyAlignment="1">
      <alignment horizontal="center" vertical="center"/>
    </xf>
    <xf numFmtId="20" fontId="33" fillId="30" borderId="16" xfId="0" applyNumberFormat="1" applyFont="1" applyFill="1" applyBorder="1" applyAlignment="1">
      <alignment horizontal="center" vertical="center"/>
    </xf>
    <xf numFmtId="20" fontId="20" fillId="5" borderId="20" xfId="0" applyNumberFormat="1" applyFont="1" applyFill="1" applyBorder="1" applyAlignment="1">
      <alignment horizontal="center" vertical="center"/>
    </xf>
    <xf numFmtId="20" fontId="25" fillId="5" borderId="48" xfId="0" applyNumberFormat="1" applyFont="1" applyFill="1" applyBorder="1" applyAlignment="1">
      <alignment horizontal="center" vertical="center"/>
    </xf>
    <xf numFmtId="20" fontId="25" fillId="5" borderId="19" xfId="0" applyNumberFormat="1" applyFont="1" applyFill="1" applyBorder="1" applyAlignment="1">
      <alignment horizontal="center" vertical="center"/>
    </xf>
    <xf numFmtId="20" fontId="20" fillId="30" borderId="19" xfId="0" applyNumberFormat="1" applyFont="1" applyFill="1" applyBorder="1" applyAlignment="1">
      <alignment horizontal="center" vertical="center"/>
    </xf>
    <xf numFmtId="20" fontId="29" fillId="3" borderId="7" xfId="0" applyNumberFormat="1" applyFont="1" applyFill="1" applyBorder="1" applyAlignment="1">
      <alignment horizontal="center" vertical="center"/>
    </xf>
    <xf numFmtId="20" fontId="29" fillId="3" borderId="8" xfId="0" applyNumberFormat="1" applyFont="1" applyFill="1" applyBorder="1" applyAlignment="1">
      <alignment horizontal="center" vertical="center"/>
    </xf>
    <xf numFmtId="20" fontId="30" fillId="3" borderId="8" xfId="0" applyNumberFormat="1" applyFont="1" applyFill="1" applyBorder="1" applyAlignment="1">
      <alignment horizontal="center" vertical="center"/>
    </xf>
    <xf numFmtId="20" fontId="21" fillId="3" borderId="8" xfId="0" applyNumberFormat="1" applyFont="1" applyFill="1" applyBorder="1" applyAlignment="1">
      <alignment horizontal="center" vertical="center"/>
    </xf>
    <xf numFmtId="20" fontId="29" fillId="3" borderId="15" xfId="0" applyNumberFormat="1" applyFont="1" applyFill="1" applyBorder="1" applyAlignment="1">
      <alignment horizontal="center" vertical="center"/>
    </xf>
    <xf numFmtId="20" fontId="29" fillId="3" borderId="16" xfId="0" applyNumberFormat="1" applyFont="1" applyFill="1" applyBorder="1" applyAlignment="1">
      <alignment horizontal="center" vertical="center"/>
    </xf>
    <xf numFmtId="20" fontId="20" fillId="3" borderId="53" xfId="0" applyNumberFormat="1" applyFont="1" applyFill="1" applyBorder="1" applyAlignment="1">
      <alignment horizontal="center" vertical="center"/>
    </xf>
    <xf numFmtId="20" fontId="22" fillId="3" borderId="17" xfId="0" applyNumberFormat="1" applyFont="1" applyFill="1" applyBorder="1" applyAlignment="1">
      <alignment horizontal="center" vertical="center"/>
    </xf>
    <xf numFmtId="20" fontId="20" fillId="3" borderId="76" xfId="0" applyNumberFormat="1" applyFont="1" applyFill="1" applyBorder="1" applyAlignment="1">
      <alignment horizontal="center" vertical="center"/>
    </xf>
    <xf numFmtId="20" fontId="25" fillId="3" borderId="11" xfId="0" applyNumberFormat="1" applyFont="1" applyFill="1" applyBorder="1" applyAlignment="1">
      <alignment horizontal="center" vertical="center"/>
    </xf>
    <xf numFmtId="0" fontId="20" fillId="0" borderId="62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3" fillId="3" borderId="62" xfId="0" applyFont="1" applyFill="1" applyBorder="1" applyAlignment="1">
      <alignment horizontal="center" vertical="center"/>
    </xf>
    <xf numFmtId="0" fontId="3" fillId="3" borderId="55" xfId="0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/>
    </xf>
    <xf numFmtId="0" fontId="3" fillId="3" borderId="69" xfId="0" applyFont="1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2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90" xfId="0" applyBorder="1" applyAlignment="1">
      <alignment horizontal="center"/>
    </xf>
    <xf numFmtId="20" fontId="36" fillId="3" borderId="16" xfId="0" applyNumberFormat="1" applyFont="1" applyFill="1" applyBorder="1" applyAlignment="1">
      <alignment horizontal="center" vertical="center"/>
    </xf>
    <xf numFmtId="20" fontId="18" fillId="0" borderId="16" xfId="0" applyNumberFormat="1" applyFont="1" applyBorder="1" applyAlignment="1">
      <alignment horizontal="center"/>
    </xf>
    <xf numFmtId="20" fontId="20" fillId="4" borderId="16" xfId="0" applyNumberFormat="1" applyFont="1" applyFill="1" applyBorder="1" applyAlignment="1">
      <alignment horizontal="center" vertical="center"/>
    </xf>
    <xf numFmtId="0" fontId="17" fillId="35" borderId="14" xfId="0" applyFont="1" applyFill="1" applyBorder="1" applyAlignment="1">
      <alignment horizontal="center" vertical="center"/>
    </xf>
    <xf numFmtId="0" fontId="24" fillId="35" borderId="14" xfId="0" applyFont="1" applyFill="1" applyBorder="1" applyAlignment="1">
      <alignment horizontal="center"/>
    </xf>
    <xf numFmtId="0" fontId="0" fillId="3" borderId="19" xfId="0" applyFill="1" applyBorder="1" applyAlignment="1">
      <alignment horizontal="center" vertical="center"/>
    </xf>
    <xf numFmtId="20" fontId="39" fillId="3" borderId="16" xfId="0" applyNumberFormat="1" applyFont="1" applyFill="1" applyBorder="1" applyAlignment="1">
      <alignment horizontal="center" vertical="center"/>
    </xf>
    <xf numFmtId="20" fontId="20" fillId="32" borderId="16" xfId="0" applyNumberFormat="1" applyFont="1" applyFill="1" applyBorder="1" applyAlignment="1">
      <alignment horizontal="center" vertical="center"/>
    </xf>
    <xf numFmtId="20" fontId="20" fillId="3" borderId="62" xfId="0" applyNumberFormat="1" applyFont="1" applyFill="1" applyBorder="1" applyAlignment="1">
      <alignment horizontal="center" vertical="center"/>
    </xf>
    <xf numFmtId="20" fontId="20" fillId="3" borderId="94" xfId="0" applyNumberFormat="1" applyFont="1" applyFill="1" applyBorder="1" applyAlignment="1">
      <alignment horizontal="center" vertical="center"/>
    </xf>
    <xf numFmtId="20" fontId="20" fillId="3" borderId="69" xfId="0" applyNumberFormat="1" applyFont="1" applyFill="1" applyBorder="1" applyAlignment="1">
      <alignment horizontal="center" vertical="center"/>
    </xf>
    <xf numFmtId="20" fontId="20" fillId="3" borderId="90" xfId="0" applyNumberFormat="1" applyFont="1" applyFill="1" applyBorder="1" applyAlignment="1">
      <alignment horizontal="center" vertical="center"/>
    </xf>
    <xf numFmtId="0" fontId="20" fillId="12" borderId="51" xfId="1" applyFont="1" applyFill="1" applyBorder="1" applyAlignment="1">
      <alignment horizontal="left"/>
    </xf>
    <xf numFmtId="0" fontId="20" fillId="12" borderId="77" xfId="0" applyFont="1" applyFill="1" applyBorder="1" applyAlignment="1">
      <alignment horizontal="center" vertical="center"/>
    </xf>
    <xf numFmtId="20" fontId="20" fillId="0" borderId="38" xfId="0" applyNumberFormat="1" applyFont="1" applyBorder="1" applyAlignment="1">
      <alignment horizontal="center" vertical="center"/>
    </xf>
    <xf numFmtId="0" fontId="17" fillId="35" borderId="63" xfId="0" applyFont="1" applyFill="1" applyBorder="1" applyAlignment="1">
      <alignment horizontal="center" vertical="center"/>
    </xf>
    <xf numFmtId="20" fontId="20" fillId="3" borderId="0" xfId="0" applyNumberFormat="1" applyFont="1" applyFill="1" applyAlignment="1">
      <alignment horizontal="center" vertical="center"/>
    </xf>
    <xf numFmtId="0" fontId="18" fillId="35" borderId="95" xfId="0" applyFont="1" applyFill="1" applyBorder="1"/>
    <xf numFmtId="0" fontId="24" fillId="35" borderId="23" xfId="0" applyFont="1" applyFill="1" applyBorder="1" applyAlignment="1">
      <alignment horizontal="center"/>
    </xf>
    <xf numFmtId="20" fontId="20" fillId="30" borderId="8" xfId="0" applyNumberFormat="1" applyFont="1" applyFill="1" applyBorder="1" applyAlignment="1">
      <alignment horizontal="center" vertical="center"/>
    </xf>
    <xf numFmtId="20" fontId="18" fillId="51" borderId="16" xfId="0" applyNumberFormat="1" applyFont="1" applyFill="1" applyBorder="1" applyAlignment="1">
      <alignment horizontal="center"/>
    </xf>
    <xf numFmtId="20" fontId="20" fillId="32" borderId="30" xfId="0" applyNumberFormat="1" applyFont="1" applyFill="1" applyBorder="1" applyAlignment="1">
      <alignment horizontal="center" vertical="center"/>
    </xf>
    <xf numFmtId="20" fontId="18" fillId="0" borderId="16" xfId="0" applyNumberFormat="1" applyFont="1" applyBorder="1" applyAlignment="1">
      <alignment horizontal="center" vertical="center"/>
    </xf>
    <xf numFmtId="20" fontId="20" fillId="0" borderId="25" xfId="0" applyNumberFormat="1" applyFont="1" applyBorder="1" applyAlignment="1">
      <alignment horizontal="center" vertical="center"/>
    </xf>
    <xf numFmtId="20" fontId="20" fillId="0" borderId="58" xfId="0" applyNumberFormat="1" applyFont="1" applyBorder="1" applyAlignment="1">
      <alignment horizontal="center" vertical="center"/>
    </xf>
    <xf numFmtId="20" fontId="8" fillId="0" borderId="16" xfId="0" applyNumberFormat="1" applyFont="1" applyBorder="1" applyAlignment="1">
      <alignment horizontal="center" vertical="center"/>
    </xf>
    <xf numFmtId="20" fontId="8" fillId="0" borderId="31" xfId="0" applyNumberFormat="1" applyFont="1" applyBorder="1" applyAlignment="1">
      <alignment horizontal="center" vertical="center"/>
    </xf>
    <xf numFmtId="20" fontId="20" fillId="0" borderId="15" xfId="0" applyNumberFormat="1" applyFont="1" applyBorder="1" applyAlignment="1">
      <alignment horizontal="center" vertical="center"/>
    </xf>
    <xf numFmtId="20" fontId="20" fillId="5" borderId="94" xfId="0" applyNumberFormat="1" applyFont="1" applyFill="1" applyBorder="1" applyAlignment="1">
      <alignment horizontal="center" vertical="center"/>
    </xf>
    <xf numFmtId="20" fontId="20" fillId="5" borderId="31" xfId="0" applyNumberFormat="1" applyFont="1" applyFill="1" applyBorder="1" applyAlignment="1">
      <alignment horizontal="center" vertical="center"/>
    </xf>
    <xf numFmtId="0" fontId="20" fillId="49" borderId="72" xfId="1" applyFont="1" applyFill="1" applyBorder="1" applyAlignment="1">
      <alignment horizontal="left"/>
    </xf>
    <xf numFmtId="0" fontId="0" fillId="3" borderId="19" xfId="0" applyFill="1" applyBorder="1" applyAlignment="1">
      <alignment horizontal="center"/>
    </xf>
    <xf numFmtId="0" fontId="17" fillId="11" borderId="16" xfId="0" applyFont="1" applyFill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0" fillId="3" borderId="16" xfId="0" applyFill="1" applyBorder="1"/>
    <xf numFmtId="0" fontId="18" fillId="3" borderId="16" xfId="0" applyFont="1" applyFill="1" applyBorder="1" applyAlignment="1">
      <alignment horizontal="center"/>
    </xf>
    <xf numFmtId="0" fontId="0" fillId="3" borderId="30" xfId="0" applyFill="1" applyBorder="1"/>
    <xf numFmtId="20" fontId="18" fillId="3" borderId="30" xfId="0" applyNumberFormat="1" applyFont="1" applyFill="1" applyBorder="1" applyAlignment="1">
      <alignment horizontal="center"/>
    </xf>
    <xf numFmtId="0" fontId="18" fillId="36" borderId="15" xfId="0" applyFont="1" applyFill="1" applyBorder="1" applyAlignment="1">
      <alignment horizontal="left" vertical="center"/>
    </xf>
    <xf numFmtId="0" fontId="24" fillId="36" borderId="17" xfId="0" applyFont="1" applyFill="1" applyBorder="1" applyAlignment="1">
      <alignment horizontal="center" vertical="center" wrapText="1"/>
    </xf>
    <xf numFmtId="0" fontId="18" fillId="19" borderId="15" xfId="0" applyFont="1" applyFill="1" applyBorder="1" applyAlignment="1">
      <alignment horizontal="left" vertical="center"/>
    </xf>
    <xf numFmtId="0" fontId="24" fillId="19" borderId="17" xfId="0" applyFont="1" applyFill="1" applyBorder="1" applyAlignment="1">
      <alignment horizontal="center" vertical="center" wrapText="1"/>
    </xf>
    <xf numFmtId="0" fontId="20" fillId="19" borderId="15" xfId="0" applyFont="1" applyFill="1" applyBorder="1" applyAlignment="1">
      <alignment horizontal="left" vertical="center"/>
    </xf>
    <xf numFmtId="0" fontId="17" fillId="19" borderId="17" xfId="0" applyFont="1" applyFill="1" applyBorder="1" applyAlignment="1">
      <alignment horizontal="center" vertical="center" wrapText="1"/>
    </xf>
    <xf numFmtId="0" fontId="20" fillId="36" borderId="15" xfId="1" applyFont="1" applyFill="1" applyBorder="1" applyAlignment="1">
      <alignment horizontal="left"/>
    </xf>
    <xf numFmtId="0" fontId="17" fillId="36" borderId="17" xfId="0" applyFont="1" applyFill="1" applyBorder="1" applyAlignment="1">
      <alignment horizontal="center" vertical="center"/>
    </xf>
    <xf numFmtId="0" fontId="20" fillId="35" borderId="15" xfId="1" applyFont="1" applyFill="1" applyBorder="1" applyAlignment="1">
      <alignment horizontal="left" vertical="center"/>
    </xf>
    <xf numFmtId="0" fontId="17" fillId="35" borderId="17" xfId="0" applyFont="1" applyFill="1" applyBorder="1" applyAlignment="1">
      <alignment horizontal="center" vertical="center"/>
    </xf>
    <xf numFmtId="0" fontId="20" fillId="35" borderId="15" xfId="1" applyFont="1" applyFill="1" applyBorder="1" applyAlignment="1">
      <alignment horizontal="left"/>
    </xf>
    <xf numFmtId="0" fontId="20" fillId="35" borderId="17" xfId="0" applyFont="1" applyFill="1" applyBorder="1" applyAlignment="1">
      <alignment horizontal="center" vertical="center"/>
    </xf>
    <xf numFmtId="0" fontId="0" fillId="35" borderId="15" xfId="0" applyFill="1" applyBorder="1"/>
    <xf numFmtId="0" fontId="0" fillId="35" borderId="17" xfId="0" applyFill="1" applyBorder="1"/>
    <xf numFmtId="0" fontId="18" fillId="35" borderId="15" xfId="0" applyFont="1" applyFill="1" applyBorder="1"/>
    <xf numFmtId="0" fontId="24" fillId="35" borderId="17" xfId="0" applyFont="1" applyFill="1" applyBorder="1" applyAlignment="1">
      <alignment horizontal="center"/>
    </xf>
    <xf numFmtId="0" fontId="18" fillId="35" borderId="10" xfId="0" applyFont="1" applyFill="1" applyBorder="1"/>
    <xf numFmtId="0" fontId="24" fillId="35" borderId="12" xfId="0" applyFont="1" applyFill="1" applyBorder="1" applyAlignment="1">
      <alignment horizontal="center"/>
    </xf>
    <xf numFmtId="0" fontId="18" fillId="36" borderId="48" xfId="0" applyFont="1" applyFill="1" applyBorder="1" applyAlignment="1">
      <alignment horizontal="left" vertical="center"/>
    </xf>
    <xf numFmtId="0" fontId="24" fillId="36" borderId="20" xfId="0" applyFont="1" applyFill="1" applyBorder="1" applyAlignment="1">
      <alignment horizontal="center" vertical="center" wrapText="1"/>
    </xf>
    <xf numFmtId="20" fontId="17" fillId="30" borderId="30" xfId="0" applyNumberFormat="1" applyFont="1" applyFill="1" applyBorder="1" applyAlignment="1">
      <alignment horizontal="center" vertical="center"/>
    </xf>
    <xf numFmtId="20" fontId="20" fillId="30" borderId="25" xfId="0" applyNumberFormat="1" applyFont="1" applyFill="1" applyBorder="1" applyAlignment="1">
      <alignment horizontal="center" vertical="center"/>
    </xf>
    <xf numFmtId="20" fontId="20" fillId="30" borderId="11" xfId="0" applyNumberFormat="1" applyFont="1" applyFill="1" applyBorder="1" applyAlignment="1">
      <alignment horizontal="center" vertical="center"/>
    </xf>
    <xf numFmtId="20" fontId="36" fillId="0" borderId="30" xfId="0" applyNumberFormat="1" applyFont="1" applyBorder="1" applyAlignment="1">
      <alignment horizontal="center" vertical="center"/>
    </xf>
    <xf numFmtId="20" fontId="36" fillId="0" borderId="16" xfId="0" applyNumberFormat="1" applyFont="1" applyBorder="1" applyAlignment="1">
      <alignment horizontal="center" vertical="center"/>
    </xf>
    <xf numFmtId="20" fontId="20" fillId="0" borderId="31" xfId="0" applyNumberFormat="1" applyFont="1" applyBorder="1" applyAlignment="1">
      <alignment horizontal="center" vertical="center"/>
    </xf>
    <xf numFmtId="20" fontId="36" fillId="0" borderId="17" xfId="0" applyNumberFormat="1" applyFont="1" applyBorder="1" applyAlignment="1">
      <alignment horizontal="center" vertical="center"/>
    </xf>
    <xf numFmtId="20" fontId="22" fillId="0" borderId="16" xfId="0" applyNumberFormat="1" applyFont="1" applyBorder="1" applyAlignment="1">
      <alignment horizontal="center" vertical="center"/>
    </xf>
    <xf numFmtId="20" fontId="17" fillId="0" borderId="15" xfId="0" applyNumberFormat="1" applyFont="1" applyBorder="1" applyAlignment="1">
      <alignment horizontal="center" vertical="center"/>
    </xf>
    <xf numFmtId="20" fontId="25" fillId="0" borderId="16" xfId="0" applyNumberFormat="1" applyFont="1" applyBorder="1" applyAlignment="1">
      <alignment horizontal="center" vertical="center"/>
    </xf>
    <xf numFmtId="20" fontId="25" fillId="0" borderId="15" xfId="0" applyNumberFormat="1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31" xfId="0" applyBorder="1"/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20" fontId="17" fillId="0" borderId="7" xfId="0" applyNumberFormat="1" applyFont="1" applyBorder="1" applyAlignment="1">
      <alignment horizontal="center" vertical="center"/>
    </xf>
    <xf numFmtId="0" fontId="20" fillId="49" borderId="36" xfId="0" applyFont="1" applyFill="1" applyBorder="1" applyAlignment="1">
      <alignment horizontal="left" vertical="center"/>
    </xf>
    <xf numFmtId="0" fontId="20" fillId="49" borderId="31" xfId="1" applyFont="1" applyFill="1" applyBorder="1" applyAlignment="1">
      <alignment horizontal="left"/>
    </xf>
    <xf numFmtId="0" fontId="17" fillId="49" borderId="18" xfId="0" applyFont="1" applyFill="1" applyBorder="1" applyAlignment="1">
      <alignment horizontal="center" vertical="center"/>
    </xf>
    <xf numFmtId="20" fontId="18" fillId="0" borderId="21" xfId="0" applyNumberFormat="1" applyFont="1" applyBorder="1" applyAlignment="1">
      <alignment horizontal="center"/>
    </xf>
    <xf numFmtId="0" fontId="0" fillId="0" borderId="47" xfId="0" applyBorder="1"/>
    <xf numFmtId="0" fontId="0" fillId="0" borderId="21" xfId="0" applyBorder="1"/>
    <xf numFmtId="0" fontId="0" fillId="0" borderId="17" xfId="0" applyBorder="1"/>
    <xf numFmtId="20" fontId="18" fillId="0" borderId="17" xfId="0" applyNumberFormat="1" applyFont="1" applyBorder="1" applyAlignment="1">
      <alignment horizontal="center"/>
    </xf>
    <xf numFmtId="0" fontId="20" fillId="35" borderId="36" xfId="1" applyFont="1" applyFill="1" applyBorder="1" applyAlignment="1">
      <alignment horizontal="left"/>
    </xf>
    <xf numFmtId="0" fontId="18" fillId="29" borderId="54" xfId="0" applyFont="1" applyFill="1" applyBorder="1" applyAlignment="1">
      <alignment horizontal="left" vertical="center"/>
    </xf>
    <xf numFmtId="0" fontId="24" fillId="29" borderId="36" xfId="0" applyFont="1" applyFill="1" applyBorder="1" applyAlignment="1">
      <alignment horizontal="center" vertical="center" wrapText="1"/>
    </xf>
    <xf numFmtId="0" fontId="20" fillId="29" borderId="54" xfId="0" applyFont="1" applyFill="1" applyBorder="1" applyAlignment="1">
      <alignment horizontal="left" vertical="center"/>
    </xf>
    <xf numFmtId="0" fontId="17" fillId="29" borderId="36" xfId="0" applyFont="1" applyFill="1" applyBorder="1" applyAlignment="1">
      <alignment horizontal="center" vertical="center" wrapText="1"/>
    </xf>
    <xf numFmtId="0" fontId="20" fillId="29" borderId="54" xfId="1" applyFont="1" applyFill="1" applyBorder="1" applyAlignment="1">
      <alignment horizontal="left"/>
    </xf>
    <xf numFmtId="0" fontId="17" fillId="29" borderId="36" xfId="0" applyFont="1" applyFill="1" applyBorder="1" applyAlignment="1">
      <alignment horizontal="center" vertical="center"/>
    </xf>
    <xf numFmtId="0" fontId="20" fillId="29" borderId="39" xfId="1" applyFont="1" applyFill="1" applyBorder="1" applyAlignment="1">
      <alignment horizontal="left"/>
    </xf>
    <xf numFmtId="0" fontId="17" fillId="29" borderId="14" xfId="0" applyFont="1" applyFill="1" applyBorder="1" applyAlignment="1">
      <alignment horizontal="center" vertical="center"/>
    </xf>
    <xf numFmtId="20" fontId="20" fillId="0" borderId="10" xfId="0" applyNumberFormat="1" applyFont="1" applyBorder="1" applyAlignment="1">
      <alignment horizontal="center" vertical="center"/>
    </xf>
    <xf numFmtId="20" fontId="20" fillId="0" borderId="11" xfId="0" applyNumberFormat="1" applyFont="1" applyBorder="1" applyAlignment="1">
      <alignment horizontal="center" vertical="center"/>
    </xf>
    <xf numFmtId="20" fontId="17" fillId="0" borderId="8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16" fontId="0" fillId="0" borderId="0" xfId="0" applyNumberFormat="1"/>
    <xf numFmtId="20" fontId="18" fillId="0" borderId="31" xfId="0" applyNumberFormat="1" applyFont="1" applyBorder="1" applyAlignment="1">
      <alignment horizontal="center" vertical="center"/>
    </xf>
    <xf numFmtId="20" fontId="20" fillId="0" borderId="47" xfId="0" applyNumberFormat="1" applyFont="1" applyBorder="1" applyAlignment="1">
      <alignment horizontal="center" vertical="center"/>
    </xf>
    <xf numFmtId="20" fontId="20" fillId="0" borderId="21" xfId="0" applyNumberFormat="1" applyFont="1" applyBorder="1" applyAlignment="1">
      <alignment horizontal="center" vertical="center"/>
    </xf>
    <xf numFmtId="20" fontId="20" fillId="0" borderId="35" xfId="0" applyNumberFormat="1" applyFont="1" applyBorder="1" applyAlignment="1">
      <alignment horizontal="center" vertical="center"/>
    </xf>
    <xf numFmtId="20" fontId="20" fillId="0" borderId="96" xfId="0" applyNumberFormat="1" applyFont="1" applyBorder="1" applyAlignment="1">
      <alignment horizontal="center" vertical="center"/>
    </xf>
    <xf numFmtId="20" fontId="20" fillId="0" borderId="97" xfId="0" applyNumberFormat="1" applyFont="1" applyBorder="1" applyAlignment="1">
      <alignment horizontal="center" vertical="center"/>
    </xf>
    <xf numFmtId="20" fontId="20" fillId="0" borderId="94" xfId="0" applyNumberFormat="1" applyFont="1" applyBorder="1" applyAlignment="1">
      <alignment horizontal="center" vertical="center"/>
    </xf>
    <xf numFmtId="20" fontId="20" fillId="0" borderId="7" xfId="0" applyNumberFormat="1" applyFont="1" applyBorder="1" applyAlignment="1">
      <alignment horizontal="center" vertical="center"/>
    </xf>
    <xf numFmtId="20" fontId="19" fillId="0" borderId="16" xfId="0" applyNumberFormat="1" applyFont="1" applyBorder="1" applyAlignment="1">
      <alignment horizontal="center" vertical="center"/>
    </xf>
    <xf numFmtId="20" fontId="39" fillId="0" borderId="16" xfId="0" applyNumberFormat="1" applyFont="1" applyBorder="1" applyAlignment="1">
      <alignment horizontal="center" vertical="center"/>
    </xf>
    <xf numFmtId="20" fontId="18" fillId="0" borderId="22" xfId="0" applyNumberFormat="1" applyFont="1" applyBorder="1" applyAlignment="1">
      <alignment horizontal="center"/>
    </xf>
    <xf numFmtId="0" fontId="0" fillId="30" borderId="21" xfId="0" applyFill="1" applyBorder="1" applyAlignment="1">
      <alignment horizontal="center"/>
    </xf>
    <xf numFmtId="0" fontId="0" fillId="30" borderId="98" xfId="0" applyFill="1" applyBorder="1" applyAlignment="1">
      <alignment horizontal="center"/>
    </xf>
    <xf numFmtId="20" fontId="18" fillId="0" borderId="30" xfId="0" applyNumberFormat="1" applyFont="1" applyBorder="1" applyAlignment="1">
      <alignment horizontal="center"/>
    </xf>
    <xf numFmtId="0" fontId="0" fillId="30" borderId="103" xfId="0" applyFill="1" applyBorder="1" applyAlignment="1">
      <alignment horizontal="center"/>
    </xf>
    <xf numFmtId="0" fontId="0" fillId="53" borderId="0" xfId="0" applyFill="1"/>
    <xf numFmtId="20" fontId="18" fillId="53" borderId="16" xfId="0" applyNumberFormat="1" applyFont="1" applyFill="1" applyBorder="1" applyAlignment="1">
      <alignment horizontal="center"/>
    </xf>
    <xf numFmtId="20" fontId="18" fillId="53" borderId="94" xfId="0" applyNumberFormat="1" applyFont="1" applyFill="1" applyBorder="1" applyAlignment="1">
      <alignment horizontal="center"/>
    </xf>
    <xf numFmtId="20" fontId="20" fillId="53" borderId="16" xfId="0" applyNumberFormat="1" applyFont="1" applyFill="1" applyBorder="1" applyAlignment="1">
      <alignment horizontal="center" vertical="center"/>
    </xf>
    <xf numFmtId="20" fontId="20" fillId="34" borderId="16" xfId="0" applyNumberFormat="1" applyFont="1" applyFill="1" applyBorder="1" applyAlignment="1">
      <alignment horizontal="center" vertical="center"/>
    </xf>
    <xf numFmtId="20" fontId="20" fillId="32" borderId="15" xfId="0" applyNumberFormat="1" applyFont="1" applyFill="1" applyBorder="1" applyAlignment="1">
      <alignment horizontal="center" vertical="center"/>
    </xf>
    <xf numFmtId="20" fontId="20" fillId="32" borderId="31" xfId="0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20" fontId="36" fillId="3" borderId="15" xfId="0" applyNumberFormat="1" applyFont="1" applyFill="1" applyBorder="1" applyAlignment="1">
      <alignment horizontal="center" vertical="center"/>
    </xf>
    <xf numFmtId="0" fontId="0" fillId="54" borderId="0" xfId="0" applyFill="1"/>
    <xf numFmtId="20" fontId="20" fillId="54" borderId="16" xfId="0" applyNumberFormat="1" applyFont="1" applyFill="1" applyBorder="1" applyAlignment="1">
      <alignment horizontal="center" vertical="center"/>
    </xf>
    <xf numFmtId="0" fontId="0" fillId="17" borderId="0" xfId="0" applyFill="1"/>
    <xf numFmtId="0" fontId="0" fillId="55" borderId="0" xfId="0" applyFill="1"/>
    <xf numFmtId="0" fontId="0" fillId="29" borderId="0" xfId="0" applyFill="1"/>
    <xf numFmtId="0" fontId="0" fillId="56" borderId="0" xfId="0" applyFill="1"/>
    <xf numFmtId="0" fontId="24" fillId="35" borderId="105" xfId="0" applyFont="1" applyFill="1" applyBorder="1" applyAlignment="1">
      <alignment horizontal="center"/>
    </xf>
    <xf numFmtId="20" fontId="18" fillId="53" borderId="21" xfId="0" applyNumberFormat="1" applyFont="1" applyFill="1" applyBorder="1" applyAlignment="1">
      <alignment horizontal="center"/>
    </xf>
    <xf numFmtId="0" fontId="18" fillId="35" borderId="0" xfId="0" applyFont="1" applyFill="1"/>
    <xf numFmtId="0" fontId="24" fillId="35" borderId="0" xfId="0" applyFont="1" applyFill="1" applyAlignment="1">
      <alignment horizontal="center"/>
    </xf>
    <xf numFmtId="20" fontId="18" fillId="3" borderId="38" xfId="0" applyNumberFormat="1" applyFont="1" applyFill="1" applyBorder="1" applyAlignment="1">
      <alignment horizontal="center"/>
    </xf>
    <xf numFmtId="20" fontId="18" fillId="3" borderId="19" xfId="0" applyNumberFormat="1" applyFont="1" applyFill="1" applyBorder="1" applyAlignment="1">
      <alignment horizontal="center"/>
    </xf>
    <xf numFmtId="20" fontId="20" fillId="51" borderId="19" xfId="0" applyNumberFormat="1" applyFont="1" applyFill="1" applyBorder="1" applyAlignment="1">
      <alignment horizontal="center" vertical="center"/>
    </xf>
    <xf numFmtId="20" fontId="18" fillId="0" borderId="19" xfId="0" applyNumberFormat="1" applyFont="1" applyBorder="1" applyAlignment="1">
      <alignment horizontal="center"/>
    </xf>
    <xf numFmtId="0" fontId="0" fillId="52" borderId="19" xfId="0" applyFill="1" applyBorder="1"/>
    <xf numFmtId="20" fontId="20" fillId="30" borderId="0" xfId="0" applyNumberFormat="1" applyFont="1" applyFill="1" applyAlignment="1">
      <alignment horizontal="center" vertical="center"/>
    </xf>
    <xf numFmtId="20" fontId="29" fillId="3" borderId="0" xfId="0" applyNumberFormat="1" applyFont="1" applyFill="1" applyAlignment="1">
      <alignment horizontal="center" vertical="center"/>
    </xf>
    <xf numFmtId="20" fontId="22" fillId="3" borderId="0" xfId="0" applyNumberFormat="1" applyFont="1" applyFill="1" applyAlignment="1">
      <alignment horizontal="center" vertical="center"/>
    </xf>
    <xf numFmtId="0" fontId="18" fillId="35" borderId="106" xfId="0" applyFont="1" applyFill="1" applyBorder="1"/>
    <xf numFmtId="20" fontId="18" fillId="3" borderId="21" xfId="0" applyNumberFormat="1" applyFont="1" applyFill="1" applyBorder="1" applyAlignment="1">
      <alignment horizontal="center"/>
    </xf>
    <xf numFmtId="20" fontId="20" fillId="53" borderId="30" xfId="0" applyNumberFormat="1" applyFont="1" applyFill="1" applyBorder="1" applyAlignment="1">
      <alignment horizontal="center" vertical="center"/>
    </xf>
    <xf numFmtId="0" fontId="0" fillId="0" borderId="30" xfId="0" applyBorder="1"/>
    <xf numFmtId="0" fontId="11" fillId="30" borderId="34" xfId="0" applyFont="1" applyFill="1" applyBorder="1"/>
    <xf numFmtId="0" fontId="11" fillId="30" borderId="108" xfId="0" applyFont="1" applyFill="1" applyBorder="1"/>
    <xf numFmtId="0" fontId="11" fillId="30" borderId="96" xfId="0" applyFont="1" applyFill="1" applyBorder="1"/>
    <xf numFmtId="0" fontId="17" fillId="35" borderId="13" xfId="0" applyFont="1" applyFill="1" applyBorder="1" applyAlignment="1">
      <alignment horizontal="center" vertical="center"/>
    </xf>
    <xf numFmtId="0" fontId="0" fillId="35" borderId="105" xfId="0" applyFill="1" applyBorder="1" applyAlignment="1">
      <alignment horizontal="center"/>
    </xf>
    <xf numFmtId="0" fontId="24" fillId="35" borderId="18" xfId="0" applyFont="1" applyFill="1" applyBorder="1" applyAlignment="1">
      <alignment horizontal="center"/>
    </xf>
    <xf numFmtId="0" fontId="20" fillId="35" borderId="29" xfId="1" applyFont="1" applyFill="1" applyBorder="1" applyAlignment="1">
      <alignment horizontal="left" vertical="center"/>
    </xf>
    <xf numFmtId="0" fontId="0" fillId="35" borderId="93" xfId="0" applyFill="1" applyBorder="1"/>
    <xf numFmtId="0" fontId="18" fillId="35" borderId="36" xfId="0" applyFont="1" applyFill="1" applyBorder="1"/>
    <xf numFmtId="0" fontId="18" fillId="35" borderId="56" xfId="0" applyFont="1" applyFill="1" applyBorder="1"/>
    <xf numFmtId="0" fontId="18" fillId="35" borderId="52" xfId="0" applyFont="1" applyFill="1" applyBorder="1"/>
    <xf numFmtId="20" fontId="18" fillId="53" borderId="35" xfId="0" applyNumberFormat="1" applyFont="1" applyFill="1" applyBorder="1" applyAlignment="1">
      <alignment horizontal="center"/>
    </xf>
    <xf numFmtId="0" fontId="0" fillId="29" borderId="99" xfId="0" applyFill="1" applyBorder="1"/>
    <xf numFmtId="0" fontId="0" fillId="29" borderId="100" xfId="0" applyFill="1" applyBorder="1"/>
    <xf numFmtId="20" fontId="18" fillId="29" borderId="100" xfId="0" applyNumberFormat="1" applyFont="1" applyFill="1" applyBorder="1" applyAlignment="1">
      <alignment horizontal="center"/>
    </xf>
    <xf numFmtId="20" fontId="18" fillId="29" borderId="104" xfId="0" applyNumberFormat="1" applyFont="1" applyFill="1" applyBorder="1" applyAlignment="1">
      <alignment horizontal="center"/>
    </xf>
    <xf numFmtId="20" fontId="20" fillId="29" borderId="16" xfId="0" applyNumberFormat="1" applyFont="1" applyFill="1" applyBorder="1" applyAlignment="1">
      <alignment horizontal="center" vertical="center"/>
    </xf>
    <xf numFmtId="20" fontId="20" fillId="32" borderId="17" xfId="0" applyNumberFormat="1" applyFont="1" applyFill="1" applyBorder="1" applyAlignment="1">
      <alignment horizontal="center" vertical="center"/>
    </xf>
    <xf numFmtId="20" fontId="20" fillId="32" borderId="11" xfId="0" applyNumberFormat="1" applyFont="1" applyFill="1" applyBorder="1" applyAlignment="1">
      <alignment horizontal="center" vertical="center"/>
    </xf>
    <xf numFmtId="20" fontId="20" fillId="32" borderId="12" xfId="0" applyNumberFormat="1" applyFont="1" applyFill="1" applyBorder="1" applyAlignment="1">
      <alignment horizontal="center" vertical="center"/>
    </xf>
    <xf numFmtId="20" fontId="20" fillId="32" borderId="19" xfId="0" applyNumberFormat="1" applyFont="1" applyFill="1" applyBorder="1" applyAlignment="1">
      <alignment horizontal="center" vertical="center"/>
    </xf>
    <xf numFmtId="20" fontId="20" fillId="32" borderId="8" xfId="0" applyNumberFormat="1" applyFont="1" applyFill="1" applyBorder="1" applyAlignment="1">
      <alignment horizontal="center" vertical="center"/>
    </xf>
    <xf numFmtId="20" fontId="20" fillId="32" borderId="26" xfId="0" applyNumberFormat="1" applyFont="1" applyFill="1" applyBorder="1" applyAlignment="1">
      <alignment horizontal="center" vertical="center"/>
    </xf>
    <xf numFmtId="20" fontId="20" fillId="56" borderId="16" xfId="0" applyNumberFormat="1" applyFont="1" applyFill="1" applyBorder="1" applyAlignment="1">
      <alignment horizontal="center" vertical="center"/>
    </xf>
    <xf numFmtId="20" fontId="20" fillId="24" borderId="16" xfId="0" applyNumberFormat="1" applyFont="1" applyFill="1" applyBorder="1" applyAlignment="1">
      <alignment horizontal="center" vertical="center"/>
    </xf>
    <xf numFmtId="20" fontId="20" fillId="28" borderId="11" xfId="0" applyNumberFormat="1" applyFont="1" applyFill="1" applyBorder="1" applyAlignment="1">
      <alignment horizontal="center" vertical="center"/>
    </xf>
    <xf numFmtId="20" fontId="20" fillId="28" borderId="12" xfId="0" applyNumberFormat="1" applyFont="1" applyFill="1" applyBorder="1" applyAlignment="1">
      <alignment horizontal="center" vertical="center"/>
    </xf>
    <xf numFmtId="20" fontId="20" fillId="4" borderId="17" xfId="0" applyNumberFormat="1" applyFont="1" applyFill="1" applyBorder="1" applyAlignment="1">
      <alignment horizontal="center" vertical="center"/>
    </xf>
    <xf numFmtId="20" fontId="18" fillId="3" borderId="11" xfId="0" applyNumberFormat="1" applyFont="1" applyFill="1" applyBorder="1" applyAlignment="1">
      <alignment horizontal="center"/>
    </xf>
    <xf numFmtId="0" fontId="11" fillId="30" borderId="30" xfId="0" applyFont="1" applyFill="1" applyBorder="1"/>
    <xf numFmtId="0" fontId="0" fillId="30" borderId="16" xfId="0" applyFill="1" applyBorder="1" applyAlignment="1">
      <alignment horizontal="center"/>
    </xf>
    <xf numFmtId="0" fontId="11" fillId="30" borderId="37" xfId="0" applyFont="1" applyFill="1" applyBorder="1"/>
    <xf numFmtId="0" fontId="0" fillId="30" borderId="11" xfId="0" applyFill="1" applyBorder="1" applyAlignment="1">
      <alignment horizontal="center"/>
    </xf>
    <xf numFmtId="0" fontId="0" fillId="30" borderId="103" xfId="0" applyFill="1" applyBorder="1"/>
    <xf numFmtId="0" fontId="0" fillId="30" borderId="107" xfId="0" applyFill="1" applyBorder="1"/>
    <xf numFmtId="0" fontId="0" fillId="30" borderId="15" xfId="0" applyFill="1" applyBorder="1"/>
    <xf numFmtId="0" fontId="0" fillId="30" borderId="16" xfId="0" applyFill="1" applyBorder="1"/>
    <xf numFmtId="0" fontId="0" fillId="30" borderId="17" xfId="0" applyFill="1" applyBorder="1"/>
    <xf numFmtId="0" fontId="0" fillId="30" borderId="10" xfId="0" applyFill="1" applyBorder="1"/>
    <xf numFmtId="0" fontId="0" fillId="30" borderId="11" xfId="0" applyFill="1" applyBorder="1"/>
    <xf numFmtId="20" fontId="20" fillId="4" borderId="31" xfId="0" applyNumberFormat="1" applyFont="1" applyFill="1" applyBorder="1" applyAlignment="1">
      <alignment horizontal="center" vertical="center"/>
    </xf>
    <xf numFmtId="20" fontId="20" fillId="28" borderId="16" xfId="0" applyNumberFormat="1" applyFont="1" applyFill="1" applyBorder="1" applyAlignment="1">
      <alignment horizontal="center" vertical="center"/>
    </xf>
    <xf numFmtId="20" fontId="20" fillId="28" borderId="31" xfId="0" applyNumberFormat="1" applyFont="1" applyFill="1" applyBorder="1" applyAlignment="1">
      <alignment horizontal="center" vertical="center"/>
    </xf>
    <xf numFmtId="20" fontId="20" fillId="56" borderId="17" xfId="0" applyNumberFormat="1" applyFont="1" applyFill="1" applyBorder="1" applyAlignment="1">
      <alignment horizontal="center" vertical="center"/>
    </xf>
    <xf numFmtId="20" fontId="29" fillId="30" borderId="7" xfId="0" applyNumberFormat="1" applyFont="1" applyFill="1" applyBorder="1" applyAlignment="1">
      <alignment horizontal="center" vertical="center"/>
    </xf>
    <xf numFmtId="20" fontId="29" fillId="30" borderId="8" xfId="0" applyNumberFormat="1" applyFont="1" applyFill="1" applyBorder="1" applyAlignment="1">
      <alignment horizontal="center" vertical="center"/>
    </xf>
    <xf numFmtId="20" fontId="30" fillId="30" borderId="8" xfId="0" applyNumberFormat="1" applyFont="1" applyFill="1" applyBorder="1" applyAlignment="1">
      <alignment horizontal="center" vertical="center"/>
    </xf>
    <xf numFmtId="20" fontId="21" fillId="30" borderId="8" xfId="0" applyNumberFormat="1" applyFont="1" applyFill="1" applyBorder="1" applyAlignment="1">
      <alignment horizontal="center" vertical="center"/>
    </xf>
    <xf numFmtId="20" fontId="18" fillId="51" borderId="21" xfId="0" applyNumberFormat="1" applyFont="1" applyFill="1" applyBorder="1" applyAlignment="1">
      <alignment horizontal="center"/>
    </xf>
    <xf numFmtId="20" fontId="18" fillId="51" borderId="35" xfId="0" applyNumberFormat="1" applyFont="1" applyFill="1" applyBorder="1" applyAlignment="1">
      <alignment horizontal="center"/>
    </xf>
    <xf numFmtId="20" fontId="18" fillId="34" borderId="0" xfId="0" applyNumberFormat="1" applyFont="1" applyFill="1" applyAlignment="1">
      <alignment horizontal="center"/>
    </xf>
    <xf numFmtId="20" fontId="20" fillId="34" borderId="31" xfId="0" applyNumberFormat="1" applyFont="1" applyFill="1" applyBorder="1" applyAlignment="1">
      <alignment horizontal="center" vertical="center"/>
    </xf>
    <xf numFmtId="20" fontId="18" fillId="30" borderId="16" xfId="0" applyNumberFormat="1" applyFont="1" applyFill="1" applyBorder="1" applyAlignment="1">
      <alignment horizontal="center"/>
    </xf>
    <xf numFmtId="20" fontId="18" fillId="0" borderId="17" xfId="0" applyNumberFormat="1" applyFont="1" applyBorder="1" applyAlignment="1">
      <alignment horizontal="center" vertical="center"/>
    </xf>
    <xf numFmtId="20" fontId="17" fillId="4" borderId="40" xfId="0" applyNumberFormat="1" applyFont="1" applyFill="1" applyBorder="1" applyAlignment="1">
      <alignment horizontal="center" vertical="center"/>
    </xf>
    <xf numFmtId="20" fontId="17" fillId="4" borderId="32" xfId="0" applyNumberFormat="1" applyFont="1" applyFill="1" applyBorder="1" applyAlignment="1">
      <alignment horizontal="center" vertical="center"/>
    </xf>
    <xf numFmtId="20" fontId="17" fillId="4" borderId="24" xfId="0" applyNumberFormat="1" applyFont="1" applyFill="1" applyBorder="1" applyAlignment="1">
      <alignment horizontal="center" vertical="center"/>
    </xf>
    <xf numFmtId="20" fontId="17" fillId="4" borderId="41" xfId="0" applyNumberFormat="1" applyFont="1" applyFill="1" applyBorder="1" applyAlignment="1">
      <alignment horizontal="center" vertical="center"/>
    </xf>
    <xf numFmtId="20" fontId="17" fillId="4" borderId="27" xfId="0" applyNumberFormat="1" applyFont="1" applyFill="1" applyBorder="1" applyAlignment="1">
      <alignment horizontal="center" vertical="center"/>
    </xf>
    <xf numFmtId="0" fontId="18" fillId="49" borderId="51" xfId="0" applyFont="1" applyFill="1" applyBorder="1" applyAlignment="1">
      <alignment horizontal="left" vertical="center"/>
    </xf>
    <xf numFmtId="0" fontId="24" fillId="49" borderId="63" xfId="0" applyFont="1" applyFill="1" applyBorder="1" applyAlignment="1">
      <alignment horizontal="center" vertical="center" wrapText="1"/>
    </xf>
    <xf numFmtId="0" fontId="18" fillId="49" borderId="1" xfId="0" applyFont="1" applyFill="1" applyBorder="1" applyAlignment="1">
      <alignment horizontal="left" vertical="center"/>
    </xf>
    <xf numFmtId="0" fontId="24" fillId="49" borderId="43" xfId="0" applyFont="1" applyFill="1" applyBorder="1" applyAlignment="1">
      <alignment horizontal="center" vertical="center" wrapText="1"/>
    </xf>
    <xf numFmtId="0" fontId="18" fillId="29" borderId="77" xfId="0" applyFont="1" applyFill="1" applyBorder="1" applyAlignment="1">
      <alignment horizontal="left" vertical="center"/>
    </xf>
    <xf numFmtId="0" fontId="24" fillId="29" borderId="51" xfId="0" applyFont="1" applyFill="1" applyBorder="1" applyAlignment="1">
      <alignment horizontal="center" vertical="center" wrapText="1"/>
    </xf>
    <xf numFmtId="0" fontId="18" fillId="29" borderId="1" xfId="0" applyFont="1" applyFill="1" applyBorder="1" applyAlignment="1">
      <alignment horizontal="left" vertical="center"/>
    </xf>
    <xf numFmtId="0" fontId="24" fillId="29" borderId="43" xfId="0" applyFont="1" applyFill="1" applyBorder="1" applyAlignment="1">
      <alignment horizontal="center" vertical="center" wrapText="1"/>
    </xf>
    <xf numFmtId="0" fontId="17" fillId="29" borderId="105" xfId="0" applyFont="1" applyFill="1" applyBorder="1" applyAlignment="1">
      <alignment horizontal="center" vertical="center"/>
    </xf>
    <xf numFmtId="0" fontId="20" fillId="35" borderId="7" xfId="1" applyFont="1" applyFill="1" applyBorder="1" applyAlignment="1">
      <alignment horizontal="left" vertical="center"/>
    </xf>
    <xf numFmtId="20" fontId="29" fillId="30" borderId="15" xfId="0" applyNumberFormat="1" applyFont="1" applyFill="1" applyBorder="1" applyAlignment="1">
      <alignment horizontal="center" vertical="center"/>
    </xf>
    <xf numFmtId="20" fontId="29" fillId="30" borderId="16" xfId="0" applyNumberFormat="1" applyFont="1" applyFill="1" applyBorder="1" applyAlignment="1">
      <alignment horizontal="center" vertical="center"/>
    </xf>
    <xf numFmtId="20" fontId="22" fillId="30" borderId="16" xfId="0" applyNumberFormat="1" applyFont="1" applyFill="1" applyBorder="1" applyAlignment="1">
      <alignment horizontal="center" vertical="center"/>
    </xf>
    <xf numFmtId="20" fontId="17" fillId="30" borderId="15" xfId="0" applyNumberFormat="1" applyFont="1" applyFill="1" applyBorder="1" applyAlignment="1">
      <alignment horizontal="center" vertical="center"/>
    </xf>
    <xf numFmtId="20" fontId="25" fillId="30" borderId="16" xfId="0" applyNumberFormat="1" applyFont="1" applyFill="1" applyBorder="1" applyAlignment="1">
      <alignment horizontal="center" vertical="center"/>
    </xf>
    <xf numFmtId="20" fontId="25" fillId="30" borderId="15" xfId="0" applyNumberFormat="1" applyFont="1" applyFill="1" applyBorder="1" applyAlignment="1">
      <alignment horizontal="center" vertical="center"/>
    </xf>
    <xf numFmtId="0" fontId="20" fillId="30" borderId="16" xfId="0" applyFont="1" applyFill="1" applyBorder="1" applyAlignment="1">
      <alignment horizontal="center" vertical="center"/>
    </xf>
    <xf numFmtId="0" fontId="0" fillId="30" borderId="15" xfId="0" applyFill="1" applyBorder="1" applyAlignment="1">
      <alignment horizontal="center"/>
    </xf>
    <xf numFmtId="0" fontId="0" fillId="30" borderId="47" xfId="0" applyFill="1" applyBorder="1"/>
    <xf numFmtId="0" fontId="0" fillId="30" borderId="21" xfId="0" applyFill="1" applyBorder="1"/>
    <xf numFmtId="0" fontId="0" fillId="8" borderId="0" xfId="0" applyFill="1"/>
    <xf numFmtId="0" fontId="17" fillId="35" borderId="26" xfId="0" applyFont="1" applyFill="1" applyBorder="1" applyAlignment="1">
      <alignment horizontal="center" vertical="center"/>
    </xf>
    <xf numFmtId="0" fontId="17" fillId="35" borderId="31" xfId="0" applyFont="1" applyFill="1" applyBorder="1" applyAlignment="1">
      <alignment horizontal="center" vertical="center"/>
    </xf>
    <xf numFmtId="0" fontId="20" fillId="35" borderId="31" xfId="0" applyFont="1" applyFill="1" applyBorder="1" applyAlignment="1">
      <alignment horizontal="center" vertical="center"/>
    </xf>
    <xf numFmtId="0" fontId="0" fillId="35" borderId="31" xfId="0" applyFill="1" applyBorder="1"/>
    <xf numFmtId="0" fontId="24" fillId="35" borderId="31" xfId="0" applyFont="1" applyFill="1" applyBorder="1" applyAlignment="1">
      <alignment horizontal="center"/>
    </xf>
    <xf numFmtId="0" fontId="20" fillId="35" borderId="30" xfId="1" applyFont="1" applyFill="1" applyBorder="1" applyAlignment="1">
      <alignment horizontal="left" vertical="center"/>
    </xf>
    <xf numFmtId="0" fontId="20" fillId="35" borderId="30" xfId="1" applyFont="1" applyFill="1" applyBorder="1" applyAlignment="1">
      <alignment horizontal="left"/>
    </xf>
    <xf numFmtId="0" fontId="0" fillId="35" borderId="30" xfId="0" applyFill="1" applyBorder="1"/>
    <xf numFmtId="0" fontId="18" fillId="35" borderId="30" xfId="0" applyFont="1" applyFill="1" applyBorder="1"/>
    <xf numFmtId="0" fontId="18" fillId="35" borderId="37" xfId="0" applyFont="1" applyFill="1" applyBorder="1"/>
    <xf numFmtId="20" fontId="20" fillId="0" borderId="109" xfId="0" applyNumberFormat="1" applyFont="1" applyBorder="1" applyAlignment="1">
      <alignment horizontal="center" vertical="center"/>
    </xf>
    <xf numFmtId="20" fontId="20" fillId="0" borderId="110" xfId="0" applyNumberFormat="1" applyFont="1" applyBorder="1" applyAlignment="1">
      <alignment horizontal="center" vertical="center"/>
    </xf>
    <xf numFmtId="20" fontId="20" fillId="0" borderId="111" xfId="0" applyNumberFormat="1" applyFont="1" applyBorder="1" applyAlignment="1">
      <alignment horizontal="center" vertical="center"/>
    </xf>
    <xf numFmtId="20" fontId="20" fillId="0" borderId="69" xfId="0" applyNumberFormat="1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20" fontId="18" fillId="0" borderId="15" xfId="0" applyNumberFormat="1" applyFont="1" applyBorder="1" applyAlignment="1">
      <alignment horizontal="center" vertical="center"/>
    </xf>
    <xf numFmtId="0" fontId="11" fillId="0" borderId="15" xfId="0" applyFont="1" applyBorder="1"/>
    <xf numFmtId="20" fontId="17" fillId="0" borderId="9" xfId="0" applyNumberFormat="1" applyFont="1" applyBorder="1" applyAlignment="1">
      <alignment horizontal="center" vertical="center"/>
    </xf>
    <xf numFmtId="20" fontId="22" fillId="0" borderId="17" xfId="0" applyNumberFormat="1" applyFont="1" applyBorder="1" applyAlignment="1">
      <alignment horizontal="center" vertical="center"/>
    </xf>
    <xf numFmtId="20" fontId="39" fillId="0" borderId="17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20" fontId="18" fillId="57" borderId="16" xfId="0" applyNumberFormat="1" applyFont="1" applyFill="1" applyBorder="1" applyAlignment="1">
      <alignment horizontal="center"/>
    </xf>
    <xf numFmtId="20" fontId="18" fillId="57" borderId="11" xfId="0" applyNumberFormat="1" applyFont="1" applyFill="1" applyBorder="1" applyAlignment="1">
      <alignment horizontal="center"/>
    </xf>
    <xf numFmtId="0" fontId="0" fillId="57" borderId="0" xfId="0" applyFill="1"/>
    <xf numFmtId="20" fontId="18" fillId="54" borderId="94" xfId="0" applyNumberFormat="1" applyFont="1" applyFill="1" applyBorder="1" applyAlignment="1">
      <alignment horizontal="center"/>
    </xf>
    <xf numFmtId="20" fontId="18" fillId="54" borderId="21" xfId="0" applyNumberFormat="1" applyFont="1" applyFill="1" applyBorder="1" applyAlignment="1">
      <alignment horizontal="center"/>
    </xf>
    <xf numFmtId="20" fontId="20" fillId="54" borderId="11" xfId="0" applyNumberFormat="1" applyFont="1" applyFill="1" applyBorder="1" applyAlignment="1">
      <alignment horizontal="center" vertical="center"/>
    </xf>
    <xf numFmtId="20" fontId="18" fillId="54" borderId="16" xfId="0" applyNumberFormat="1" applyFont="1" applyFill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18" fillId="35" borderId="47" xfId="0" applyFont="1" applyFill="1" applyBorder="1"/>
    <xf numFmtId="0" fontId="24" fillId="35" borderId="35" xfId="0" applyFont="1" applyFill="1" applyBorder="1" applyAlignment="1">
      <alignment horizontal="center"/>
    </xf>
    <xf numFmtId="0" fontId="11" fillId="0" borderId="47" xfId="0" applyFont="1" applyBorder="1"/>
    <xf numFmtId="0" fontId="0" fillId="0" borderId="21" xfId="0" applyBorder="1" applyAlignment="1">
      <alignment horizontal="center"/>
    </xf>
    <xf numFmtId="0" fontId="0" fillId="0" borderId="22" xfId="0" applyBorder="1"/>
    <xf numFmtId="20" fontId="18" fillId="4" borderId="16" xfId="0" applyNumberFormat="1" applyFont="1" applyFill="1" applyBorder="1" applyAlignment="1">
      <alignment horizontal="center"/>
    </xf>
    <xf numFmtId="20" fontId="18" fillId="4" borderId="31" xfId="0" applyNumberFormat="1" applyFont="1" applyFill="1" applyBorder="1" applyAlignment="1">
      <alignment horizontal="center"/>
    </xf>
    <xf numFmtId="0" fontId="0" fillId="0" borderId="93" xfId="0" applyBorder="1"/>
    <xf numFmtId="0" fontId="0" fillId="0" borderId="70" xfId="0" applyBorder="1"/>
    <xf numFmtId="0" fontId="0" fillId="0" borderId="67" xfId="0" applyBorder="1"/>
    <xf numFmtId="0" fontId="0" fillId="0" borderId="112" xfId="0" applyBorder="1"/>
    <xf numFmtId="0" fontId="0" fillId="0" borderId="73" xfId="0" applyBorder="1"/>
    <xf numFmtId="0" fontId="20" fillId="30" borderId="17" xfId="0" applyFont="1" applyFill="1" applyBorder="1" applyAlignment="1">
      <alignment horizontal="center" vertical="center"/>
    </xf>
    <xf numFmtId="0" fontId="0" fillId="30" borderId="22" xfId="0" applyFill="1" applyBorder="1"/>
    <xf numFmtId="0" fontId="0" fillId="58" borderId="0" xfId="0" applyFill="1"/>
    <xf numFmtId="20" fontId="18" fillId="28" borderId="16" xfId="0" applyNumberFormat="1" applyFont="1" applyFill="1" applyBorder="1" applyAlignment="1">
      <alignment horizontal="center"/>
    </xf>
    <xf numFmtId="20" fontId="18" fillId="28" borderId="31" xfId="0" applyNumberFormat="1" applyFont="1" applyFill="1" applyBorder="1" applyAlignment="1">
      <alignment horizontal="center"/>
    </xf>
    <xf numFmtId="20" fontId="18" fillId="51" borderId="31" xfId="0" applyNumberFormat="1" applyFont="1" applyFill="1" applyBorder="1" applyAlignment="1">
      <alignment horizontal="center"/>
    </xf>
    <xf numFmtId="20" fontId="18" fillId="59" borderId="16" xfId="0" applyNumberFormat="1" applyFont="1" applyFill="1" applyBorder="1" applyAlignment="1">
      <alignment horizontal="center"/>
    </xf>
    <xf numFmtId="20" fontId="18" fillId="59" borderId="31" xfId="0" applyNumberFormat="1" applyFont="1" applyFill="1" applyBorder="1" applyAlignment="1">
      <alignment horizontal="center"/>
    </xf>
    <xf numFmtId="20" fontId="20" fillId="25" borderId="17" xfId="0" applyNumberFormat="1" applyFont="1" applyFill="1" applyBorder="1" applyAlignment="1">
      <alignment horizontal="center" vertical="center"/>
    </xf>
    <xf numFmtId="20" fontId="18" fillId="25" borderId="11" xfId="0" applyNumberFormat="1" applyFont="1" applyFill="1" applyBorder="1" applyAlignment="1">
      <alignment horizontal="center"/>
    </xf>
    <xf numFmtId="20" fontId="18" fillId="25" borderId="50" xfId="0" applyNumberFormat="1" applyFont="1" applyFill="1" applyBorder="1" applyAlignment="1">
      <alignment horizontal="center"/>
    </xf>
    <xf numFmtId="20" fontId="20" fillId="59" borderId="16" xfId="0" applyNumberFormat="1" applyFont="1" applyFill="1" applyBorder="1" applyAlignment="1">
      <alignment horizontal="center" vertical="center"/>
    </xf>
    <xf numFmtId="20" fontId="20" fillId="59" borderId="31" xfId="0" applyNumberFormat="1" applyFont="1" applyFill="1" applyBorder="1" applyAlignment="1">
      <alignment horizontal="center" vertical="center"/>
    </xf>
    <xf numFmtId="20" fontId="40" fillId="58" borderId="19" xfId="0" applyNumberFormat="1" applyFont="1" applyFill="1" applyBorder="1" applyAlignment="1">
      <alignment horizontal="center" vertical="center"/>
    </xf>
    <xf numFmtId="20" fontId="40" fillId="58" borderId="20" xfId="0" applyNumberFormat="1" applyFont="1" applyFill="1" applyBorder="1" applyAlignment="1">
      <alignment horizontal="center" vertical="center"/>
    </xf>
    <xf numFmtId="20" fontId="40" fillId="58" borderId="51" xfId="0" applyNumberFormat="1" applyFont="1" applyFill="1" applyBorder="1" applyAlignment="1">
      <alignment horizontal="center" vertical="center"/>
    </xf>
    <xf numFmtId="20" fontId="40" fillId="58" borderId="92" xfId="0" applyNumberFormat="1" applyFont="1" applyFill="1" applyBorder="1" applyAlignment="1">
      <alignment horizontal="center" vertical="center"/>
    </xf>
    <xf numFmtId="20" fontId="40" fillId="58" borderId="16" xfId="0" applyNumberFormat="1" applyFont="1" applyFill="1" applyBorder="1" applyAlignment="1">
      <alignment horizontal="center" vertical="center"/>
    </xf>
    <xf numFmtId="20" fontId="40" fillId="58" borderId="17" xfId="0" applyNumberFormat="1" applyFont="1" applyFill="1" applyBorder="1" applyAlignment="1">
      <alignment horizontal="center" vertical="center"/>
    </xf>
    <xf numFmtId="20" fontId="18" fillId="3" borderId="102" xfId="0" applyNumberFormat="1" applyFont="1" applyFill="1" applyBorder="1" applyAlignment="1">
      <alignment horizontal="center"/>
    </xf>
    <xf numFmtId="20" fontId="18" fillId="3" borderId="103" xfId="0" applyNumberFormat="1" applyFont="1" applyFill="1" applyBorder="1" applyAlignment="1">
      <alignment horizontal="center"/>
    </xf>
    <xf numFmtId="20" fontId="18" fillId="0" borderId="100" xfId="0" applyNumberFormat="1" applyFont="1" applyBorder="1" applyAlignment="1">
      <alignment horizontal="center"/>
    </xf>
    <xf numFmtId="20" fontId="18" fillId="0" borderId="101" xfId="0" applyNumberFormat="1" applyFont="1" applyBorder="1" applyAlignment="1">
      <alignment horizontal="center"/>
    </xf>
    <xf numFmtId="20" fontId="18" fillId="3" borderId="22" xfId="0" applyNumberFormat="1" applyFont="1" applyFill="1" applyBorder="1" applyAlignment="1">
      <alignment horizontal="center"/>
    </xf>
    <xf numFmtId="20" fontId="18" fillId="3" borderId="12" xfId="0" applyNumberFormat="1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0" fillId="0" borderId="4" xfId="0" applyBorder="1"/>
    <xf numFmtId="20" fontId="18" fillId="34" borderId="16" xfId="0" applyNumberFormat="1" applyFont="1" applyFill="1" applyBorder="1" applyAlignment="1">
      <alignment horizontal="center" vertical="center"/>
    </xf>
    <xf numFmtId="20" fontId="18" fillId="34" borderId="31" xfId="0" applyNumberFormat="1" applyFont="1" applyFill="1" applyBorder="1" applyAlignment="1">
      <alignment horizontal="center" vertical="center"/>
    </xf>
    <xf numFmtId="20" fontId="17" fillId="3" borderId="40" xfId="0" applyNumberFormat="1" applyFont="1" applyFill="1" applyBorder="1" applyAlignment="1">
      <alignment horizontal="center" vertical="center"/>
    </xf>
    <xf numFmtId="20" fontId="17" fillId="3" borderId="41" xfId="0" applyNumberFormat="1" applyFont="1" applyFill="1" applyBorder="1" applyAlignment="1">
      <alignment horizontal="center" vertical="center"/>
    </xf>
    <xf numFmtId="20" fontId="8" fillId="3" borderId="16" xfId="0" applyNumberFormat="1" applyFont="1" applyFill="1" applyBorder="1" applyAlignment="1">
      <alignment horizontal="center" vertical="center"/>
    </xf>
    <xf numFmtId="20" fontId="11" fillId="3" borderId="16" xfId="0" applyNumberFormat="1" applyFont="1" applyFill="1" applyBorder="1" applyAlignment="1">
      <alignment horizontal="center"/>
    </xf>
    <xf numFmtId="20" fontId="0" fillId="3" borderId="16" xfId="0" applyNumberFormat="1" applyFill="1" applyBorder="1" applyAlignment="1">
      <alignment horizontal="center"/>
    </xf>
    <xf numFmtId="0" fontId="25" fillId="3" borderId="16" xfId="0" applyFont="1" applyFill="1" applyBorder="1" applyAlignment="1">
      <alignment horizontal="center" vertical="center"/>
    </xf>
    <xf numFmtId="0" fontId="20" fillId="3" borderId="16" xfId="0" applyFont="1" applyFill="1" applyBorder="1" applyAlignment="1">
      <alignment horizontal="center" vertical="center"/>
    </xf>
    <xf numFmtId="0" fontId="0" fillId="3" borderId="16" xfId="0" applyFill="1" applyBorder="1" applyAlignment="1">
      <alignment horizontal="center"/>
    </xf>
    <xf numFmtId="20" fontId="11" fillId="3" borderId="30" xfId="0" applyNumberFormat="1" applyFont="1" applyFill="1" applyBorder="1" applyAlignment="1">
      <alignment horizontal="center"/>
    </xf>
    <xf numFmtId="0" fontId="0" fillId="3" borderId="19" xfId="0" applyFill="1" applyBorder="1"/>
    <xf numFmtId="20" fontId="20" fillId="3" borderId="41" xfId="0" applyNumberFormat="1" applyFont="1" applyFill="1" applyBorder="1" applyAlignment="1">
      <alignment horizontal="center" vertical="center"/>
    </xf>
    <xf numFmtId="20" fontId="20" fillId="3" borderId="42" xfId="0" applyNumberFormat="1" applyFont="1" applyFill="1" applyBorder="1" applyAlignment="1">
      <alignment horizontal="center" vertical="center"/>
    </xf>
    <xf numFmtId="20" fontId="17" fillId="3" borderId="33" xfId="0" applyNumberFormat="1" applyFont="1" applyFill="1" applyBorder="1" applyAlignment="1">
      <alignment horizontal="center" vertical="center"/>
    </xf>
    <xf numFmtId="20" fontId="11" fillId="3" borderId="19" xfId="0" applyNumberFormat="1" applyFont="1" applyFill="1" applyBorder="1" applyAlignment="1">
      <alignment horizontal="center"/>
    </xf>
    <xf numFmtId="20" fontId="0" fillId="3" borderId="19" xfId="0" applyNumberFormat="1" applyFill="1" applyBorder="1" applyAlignment="1">
      <alignment horizontal="center"/>
    </xf>
    <xf numFmtId="20" fontId="8" fillId="3" borderId="15" xfId="0" applyNumberFormat="1" applyFont="1" applyFill="1" applyBorder="1" applyAlignment="1">
      <alignment horizontal="center" vertical="center"/>
    </xf>
    <xf numFmtId="20" fontId="36" fillId="3" borderId="17" xfId="0" applyNumberFormat="1" applyFont="1" applyFill="1" applyBorder="1" applyAlignment="1">
      <alignment horizontal="center" vertical="center"/>
    </xf>
    <xf numFmtId="20" fontId="18" fillId="3" borderId="10" xfId="0" applyNumberFormat="1" applyFont="1" applyFill="1" applyBorder="1" applyAlignment="1">
      <alignment horizontal="center"/>
    </xf>
    <xf numFmtId="20" fontId="29" fillId="3" borderId="19" xfId="0" applyNumberFormat="1" applyFont="1" applyFill="1" applyBorder="1" applyAlignment="1">
      <alignment horizontal="center" vertical="center"/>
    </xf>
    <xf numFmtId="20" fontId="22" fillId="3" borderId="19" xfId="0" applyNumberFormat="1" applyFont="1" applyFill="1" applyBorder="1" applyAlignment="1">
      <alignment horizontal="center" vertical="center"/>
    </xf>
    <xf numFmtId="0" fontId="0" fillId="38" borderId="0" xfId="0" applyFill="1"/>
    <xf numFmtId="20" fontId="8" fillId="0" borderId="15" xfId="0" applyNumberFormat="1" applyFont="1" applyBorder="1" applyAlignment="1">
      <alignment horizontal="center" vertical="center"/>
    </xf>
    <xf numFmtId="20" fontId="2" fillId="3" borderId="16" xfId="0" applyNumberFormat="1" applyFont="1" applyFill="1" applyBorder="1" applyAlignment="1">
      <alignment horizontal="center" vertical="center"/>
    </xf>
    <xf numFmtId="20" fontId="2" fillId="3" borderId="8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9" borderId="119" xfId="0" applyFont="1" applyFill="1" applyBorder="1" applyAlignment="1">
      <alignment vertical="center"/>
    </xf>
    <xf numFmtId="0" fontId="32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20" fontId="12" fillId="0" borderId="0" xfId="0" applyNumberFormat="1" applyFont="1" applyAlignment="1">
      <alignment horizontal="center" vertical="center"/>
    </xf>
    <xf numFmtId="20" fontId="27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left" vertical="center"/>
    </xf>
    <xf numFmtId="20" fontId="7" fillId="0" borderId="0" xfId="0" applyNumberFormat="1" applyFont="1" applyAlignment="1">
      <alignment horizontal="center" vertical="center"/>
    </xf>
    <xf numFmtId="20" fontId="8" fillId="0" borderId="0" xfId="0" applyNumberFormat="1" applyFont="1" applyAlignment="1">
      <alignment horizontal="center" vertical="center"/>
    </xf>
    <xf numFmtId="0" fontId="27" fillId="0" borderId="0" xfId="0" applyFont="1"/>
    <xf numFmtId="0" fontId="2" fillId="3" borderId="116" xfId="0" applyFont="1" applyFill="1" applyBorder="1" applyAlignment="1">
      <alignment horizontal="center"/>
    </xf>
    <xf numFmtId="0" fontId="0" fillId="0" borderId="3" xfId="0" applyBorder="1"/>
    <xf numFmtId="0" fontId="43" fillId="32" borderId="53" xfId="0" applyFont="1" applyFill="1" applyBorder="1" applyAlignment="1">
      <alignment horizontal="left" vertical="center"/>
    </xf>
    <xf numFmtId="0" fontId="3" fillId="32" borderId="86" xfId="0" applyFont="1" applyFill="1" applyBorder="1" applyAlignment="1">
      <alignment horizontal="center" vertical="center"/>
    </xf>
    <xf numFmtId="20" fontId="45" fillId="5" borderId="16" xfId="0" applyNumberFormat="1" applyFont="1" applyFill="1" applyBorder="1" applyAlignment="1">
      <alignment horizontal="center" vertical="center"/>
    </xf>
    <xf numFmtId="0" fontId="43" fillId="32" borderId="114" xfId="0" applyFont="1" applyFill="1" applyBorder="1" applyAlignment="1">
      <alignment horizontal="left" vertical="center"/>
    </xf>
    <xf numFmtId="0" fontId="3" fillId="32" borderId="87" xfId="0" applyFont="1" applyFill="1" applyBorder="1" applyAlignment="1">
      <alignment horizontal="center" vertical="center"/>
    </xf>
    <xf numFmtId="20" fontId="45" fillId="5" borderId="15" xfId="0" applyNumberFormat="1" applyFont="1" applyFill="1" applyBorder="1" applyAlignment="1">
      <alignment horizontal="center" vertical="center"/>
    </xf>
    <xf numFmtId="0" fontId="3" fillId="32" borderId="54" xfId="0" applyFont="1" applyFill="1" applyBorder="1" applyAlignment="1">
      <alignment horizontal="left" vertical="center"/>
    </xf>
    <xf numFmtId="0" fontId="32" fillId="32" borderId="114" xfId="0" applyFont="1" applyFill="1" applyBorder="1" applyAlignment="1">
      <alignment horizontal="left" vertical="center"/>
    </xf>
    <xf numFmtId="20" fontId="44" fillId="54" borderId="15" xfId="0" applyNumberFormat="1" applyFont="1" applyFill="1" applyBorder="1" applyAlignment="1">
      <alignment horizontal="center"/>
    </xf>
    <xf numFmtId="20" fontId="44" fillId="3" borderId="16" xfId="0" applyNumberFormat="1" applyFont="1" applyFill="1" applyBorder="1" applyAlignment="1">
      <alignment horizontal="center" vertical="center"/>
    </xf>
    <xf numFmtId="0" fontId="32" fillId="32" borderId="54" xfId="0" applyFont="1" applyFill="1" applyBorder="1" applyAlignment="1">
      <alignment horizontal="left" vertical="center"/>
    </xf>
    <xf numFmtId="0" fontId="3" fillId="32" borderId="131" xfId="0" applyFont="1" applyFill="1" applyBorder="1" applyAlignment="1">
      <alignment horizontal="center" vertical="center"/>
    </xf>
    <xf numFmtId="20" fontId="44" fillId="3" borderId="19" xfId="0" applyNumberFormat="1" applyFont="1" applyFill="1" applyBorder="1" applyAlignment="1">
      <alignment horizontal="center"/>
    </xf>
    <xf numFmtId="0" fontId="32" fillId="32" borderId="0" xfId="0" applyFont="1" applyFill="1" applyAlignment="1">
      <alignment horizontal="left" vertical="center"/>
    </xf>
    <xf numFmtId="0" fontId="3" fillId="32" borderId="6" xfId="0" applyFont="1" applyFill="1" applyBorder="1" applyAlignment="1">
      <alignment horizontal="center" vertical="center"/>
    </xf>
    <xf numFmtId="0" fontId="32" fillId="29" borderId="53" xfId="0" applyFont="1" applyFill="1" applyBorder="1" applyAlignment="1">
      <alignment horizontal="left" vertical="center"/>
    </xf>
    <xf numFmtId="0" fontId="3" fillId="29" borderId="63" xfId="0" applyFont="1" applyFill="1" applyBorder="1" applyAlignment="1">
      <alignment horizontal="center" vertical="center"/>
    </xf>
    <xf numFmtId="20" fontId="44" fillId="5" borderId="16" xfId="0" applyNumberFormat="1" applyFont="1" applyFill="1" applyBorder="1" applyAlignment="1">
      <alignment horizontal="center" vertical="center"/>
    </xf>
    <xf numFmtId="0" fontId="32" fillId="29" borderId="54" xfId="0" applyFont="1" applyFill="1" applyBorder="1" applyAlignment="1">
      <alignment horizontal="left" vertical="center"/>
    </xf>
    <xf numFmtId="0" fontId="32" fillId="29" borderId="14" xfId="0" applyFont="1" applyFill="1" applyBorder="1" applyAlignment="1">
      <alignment horizontal="center" vertical="center"/>
    </xf>
    <xf numFmtId="20" fontId="44" fillId="5" borderId="19" xfId="0" applyNumberFormat="1" applyFont="1" applyFill="1" applyBorder="1" applyAlignment="1">
      <alignment horizontal="center" vertical="center"/>
    </xf>
    <xf numFmtId="20" fontId="44" fillId="5" borderId="49" xfId="0" applyNumberFormat="1" applyFont="1" applyFill="1" applyBorder="1" applyAlignment="1">
      <alignment horizontal="center" vertical="center"/>
    </xf>
    <xf numFmtId="0" fontId="32" fillId="29" borderId="18" xfId="0" applyFont="1" applyFill="1" applyBorder="1" applyAlignment="1">
      <alignment horizontal="center" vertical="center"/>
    </xf>
    <xf numFmtId="0" fontId="32" fillId="29" borderId="0" xfId="0" applyFont="1" applyFill="1" applyAlignment="1">
      <alignment horizontal="left" vertical="center"/>
    </xf>
    <xf numFmtId="0" fontId="32" fillId="29" borderId="105" xfId="0" applyFont="1" applyFill="1" applyBorder="1" applyAlignment="1">
      <alignment horizontal="center" vertical="center"/>
    </xf>
    <xf numFmtId="0" fontId="32" fillId="63" borderId="133" xfId="0" applyFont="1" applyFill="1" applyBorder="1" applyAlignment="1">
      <alignment horizontal="left" vertical="center"/>
    </xf>
    <xf numFmtId="0" fontId="32" fillId="63" borderId="134" xfId="0" applyFont="1" applyFill="1" applyBorder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32" fillId="4" borderId="0" xfId="0" applyFont="1" applyFill="1" applyAlignment="1">
      <alignment horizontal="center" vertical="center"/>
    </xf>
    <xf numFmtId="0" fontId="12" fillId="25" borderId="13" xfId="0" applyFont="1" applyFill="1" applyBorder="1"/>
    <xf numFmtId="0" fontId="0" fillId="54" borderId="14" xfId="0" applyFill="1" applyBorder="1"/>
    <xf numFmtId="0" fontId="1" fillId="64" borderId="14" xfId="0" applyFont="1" applyFill="1" applyBorder="1" applyAlignment="1">
      <alignment horizontal="left" vertical="center"/>
    </xf>
    <xf numFmtId="0" fontId="0" fillId="36" borderId="14" xfId="0" applyFill="1" applyBorder="1"/>
    <xf numFmtId="0" fontId="0" fillId="50" borderId="14" xfId="0" applyFill="1" applyBorder="1"/>
    <xf numFmtId="0" fontId="27" fillId="60" borderId="14" xfId="0" applyFont="1" applyFill="1" applyBorder="1"/>
    <xf numFmtId="0" fontId="0" fillId="56" borderId="14" xfId="0" applyFill="1" applyBorder="1"/>
    <xf numFmtId="0" fontId="0" fillId="4" borderId="18" xfId="0" applyFill="1" applyBorder="1"/>
    <xf numFmtId="20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20" fontId="2" fillId="3" borderId="140" xfId="0" applyNumberFormat="1" applyFont="1" applyFill="1" applyBorder="1" applyAlignment="1">
      <alignment horizontal="center" vertical="center"/>
    </xf>
    <xf numFmtId="20" fontId="2" fillId="3" borderId="139" xfId="0" applyNumberFormat="1" applyFont="1" applyFill="1" applyBorder="1" applyAlignment="1">
      <alignment horizontal="center"/>
    </xf>
    <xf numFmtId="20" fontId="2" fillId="3" borderId="139" xfId="0" applyNumberFormat="1" applyFont="1" applyFill="1" applyBorder="1" applyAlignment="1">
      <alignment horizontal="center" vertical="center"/>
    </xf>
    <xf numFmtId="20" fontId="1" fillId="3" borderId="16" xfId="0" applyNumberFormat="1" applyFont="1" applyFill="1" applyBorder="1" applyAlignment="1">
      <alignment horizontal="center" vertical="center"/>
    </xf>
    <xf numFmtId="0" fontId="48" fillId="0" borderId="0" xfId="0" applyFont="1"/>
    <xf numFmtId="0" fontId="47" fillId="0" borderId="122" xfId="0" applyFont="1" applyBorder="1" applyAlignment="1">
      <alignment horizontal="center"/>
    </xf>
    <xf numFmtId="20" fontId="51" fillId="3" borderId="15" xfId="0" applyNumberFormat="1" applyFont="1" applyFill="1" applyBorder="1" applyAlignment="1">
      <alignment horizontal="center" vertical="center"/>
    </xf>
    <xf numFmtId="20" fontId="51" fillId="3" borderId="16" xfId="0" applyNumberFormat="1" applyFont="1" applyFill="1" applyBorder="1" applyAlignment="1">
      <alignment horizontal="center" vertical="center"/>
    </xf>
    <xf numFmtId="0" fontId="42" fillId="66" borderId="1" xfId="0" applyFont="1" applyFill="1" applyBorder="1"/>
    <xf numFmtId="0" fontId="42" fillId="66" borderId="27" xfId="0" applyFont="1" applyFill="1" applyBorder="1"/>
    <xf numFmtId="0" fontId="2" fillId="3" borderId="1" xfId="0" applyFont="1" applyFill="1" applyBorder="1" applyAlignment="1">
      <alignment horizontal="center"/>
    </xf>
    <xf numFmtId="0" fontId="0" fillId="3" borderId="2" xfId="0" applyFill="1" applyBorder="1"/>
    <xf numFmtId="0" fontId="2" fillId="3" borderId="5" xfId="0" applyFont="1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3" fillId="3" borderId="54" xfId="0" applyFont="1" applyFill="1" applyBorder="1" applyAlignment="1">
      <alignment vertical="center"/>
    </xf>
    <xf numFmtId="0" fontId="0" fillId="3" borderId="36" xfId="0" applyFill="1" applyBorder="1" applyAlignment="1">
      <alignment horizontal="center"/>
    </xf>
    <xf numFmtId="0" fontId="3" fillId="3" borderId="72" xfId="0" applyFont="1" applyFill="1" applyBorder="1" applyAlignment="1">
      <alignment vertical="center"/>
    </xf>
    <xf numFmtId="0" fontId="3" fillId="3" borderId="5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3" fillId="3" borderId="53" xfId="0" applyFont="1" applyFill="1" applyBorder="1" applyAlignment="1">
      <alignment vertical="center"/>
    </xf>
    <xf numFmtId="20" fontId="51" fillId="3" borderId="113" xfId="0" applyNumberFormat="1" applyFont="1" applyFill="1" applyBorder="1" applyAlignment="1">
      <alignment horizontal="center" vertical="center"/>
    </xf>
    <xf numFmtId="20" fontId="44" fillId="3" borderId="48" xfId="0" applyNumberFormat="1" applyFont="1" applyFill="1" applyBorder="1" applyAlignment="1">
      <alignment horizontal="center"/>
    </xf>
    <xf numFmtId="0" fontId="3" fillId="32" borderId="105" xfId="0" applyFont="1" applyFill="1" applyBorder="1" applyAlignment="1">
      <alignment horizontal="center" vertical="center"/>
    </xf>
    <xf numFmtId="0" fontId="11" fillId="29" borderId="2" xfId="0" applyFont="1" applyFill="1" applyBorder="1" applyAlignment="1">
      <alignment horizontal="center"/>
    </xf>
    <xf numFmtId="0" fontId="0" fillId="0" borderId="5" xfId="0" applyBorder="1"/>
    <xf numFmtId="0" fontId="2" fillId="2" borderId="2" xfId="0" applyFont="1" applyFill="1" applyBorder="1" applyAlignment="1">
      <alignment horizontal="center" vertical="center"/>
    </xf>
    <xf numFmtId="20" fontId="44" fillId="3" borderId="16" xfId="0" applyNumberFormat="1" applyFont="1" applyFill="1" applyBorder="1" applyAlignment="1">
      <alignment horizontal="center"/>
    </xf>
    <xf numFmtId="20" fontId="44" fillId="3" borderId="30" xfId="0" applyNumberFormat="1" applyFont="1" applyFill="1" applyBorder="1" applyAlignment="1">
      <alignment horizontal="center"/>
    </xf>
    <xf numFmtId="20" fontId="44" fillId="4" borderId="16" xfId="0" applyNumberFormat="1" applyFont="1" applyFill="1" applyBorder="1" applyAlignment="1">
      <alignment horizontal="center"/>
    </xf>
    <xf numFmtId="0" fontId="42" fillId="2" borderId="125" xfId="0" applyFont="1" applyFill="1" applyBorder="1" applyAlignment="1">
      <alignment horizontal="center"/>
    </xf>
    <xf numFmtId="0" fontId="42" fillId="0" borderId="2" xfId="0" applyFont="1" applyBorder="1" applyAlignment="1">
      <alignment horizontal="center"/>
    </xf>
    <xf numFmtId="0" fontId="0" fillId="3" borderId="3" xfId="0" applyFill="1" applyBorder="1"/>
    <xf numFmtId="0" fontId="53" fillId="0" borderId="3" xfId="0" applyFont="1" applyBorder="1"/>
    <xf numFmtId="0" fontId="0" fillId="3" borderId="3" xfId="0" applyFill="1" applyBorder="1" applyAlignment="1">
      <alignment horizontal="center" vertical="center"/>
    </xf>
    <xf numFmtId="0" fontId="42" fillId="2" borderId="4" xfId="0" applyFont="1" applyFill="1" applyBorder="1" applyAlignment="1">
      <alignment horizontal="center" vertical="center"/>
    </xf>
    <xf numFmtId="0" fontId="53" fillId="0" borderId="146" xfId="0" applyFont="1" applyBorder="1" applyAlignment="1">
      <alignment horizontal="center" vertical="center"/>
    </xf>
    <xf numFmtId="20" fontId="55" fillId="44" borderId="147" xfId="0" applyNumberFormat="1" applyFont="1" applyFill="1" applyBorder="1" applyAlignment="1">
      <alignment horizontal="center" vertical="center"/>
    </xf>
    <xf numFmtId="20" fontId="55" fillId="44" borderId="128" xfId="0" applyNumberFormat="1" applyFont="1" applyFill="1" applyBorder="1" applyAlignment="1">
      <alignment horizontal="center" vertical="center"/>
    </xf>
    <xf numFmtId="20" fontId="54" fillId="5" borderId="8" xfId="0" applyNumberFormat="1" applyFont="1" applyFill="1" applyBorder="1" applyAlignment="1">
      <alignment horizontal="center" vertical="center"/>
    </xf>
    <xf numFmtId="20" fontId="44" fillId="21" borderId="8" xfId="0" applyNumberFormat="1" applyFont="1" applyFill="1" applyBorder="1" applyAlignment="1">
      <alignment horizontal="center" vertical="center"/>
    </xf>
    <xf numFmtId="20" fontId="44" fillId="3" borderId="8" xfId="0" applyNumberFormat="1" applyFont="1" applyFill="1" applyBorder="1" applyAlignment="1">
      <alignment horizontal="center" vertical="center"/>
    </xf>
    <xf numFmtId="20" fontId="44" fillId="3" borderId="26" xfId="0" applyNumberFormat="1" applyFont="1" applyFill="1" applyBorder="1" applyAlignment="1">
      <alignment horizontal="center" vertical="center"/>
    </xf>
    <xf numFmtId="20" fontId="44" fillId="3" borderId="8" xfId="0" applyNumberFormat="1" applyFont="1" applyFill="1" applyBorder="1" applyAlignment="1">
      <alignment horizontal="center"/>
    </xf>
    <xf numFmtId="20" fontId="44" fillId="3" borderId="15" xfId="0" applyNumberFormat="1" applyFont="1" applyFill="1" applyBorder="1" applyAlignment="1">
      <alignment horizontal="center"/>
    </xf>
    <xf numFmtId="20" fontId="44" fillId="54" borderId="16" xfId="0" applyNumberFormat="1" applyFont="1" applyFill="1" applyBorder="1" applyAlignment="1">
      <alignment horizontal="center"/>
    </xf>
    <xf numFmtId="20" fontId="44" fillId="25" borderId="16" xfId="0" applyNumberFormat="1" applyFont="1" applyFill="1" applyBorder="1" applyAlignment="1">
      <alignment horizontal="center"/>
    </xf>
    <xf numFmtId="20" fontId="44" fillId="21" borderId="16" xfId="0" applyNumberFormat="1" applyFont="1" applyFill="1" applyBorder="1" applyAlignment="1">
      <alignment horizontal="center"/>
    </xf>
    <xf numFmtId="20" fontId="45" fillId="5" borderId="31" xfId="0" applyNumberFormat="1" applyFont="1" applyFill="1" applyBorder="1" applyAlignment="1">
      <alignment horizontal="center" vertical="center"/>
    </xf>
    <xf numFmtId="20" fontId="14" fillId="3" borderId="16" xfId="0" applyNumberFormat="1" applyFont="1" applyFill="1" applyBorder="1" applyAlignment="1">
      <alignment horizontal="center"/>
    </xf>
    <xf numFmtId="20" fontId="44" fillId="3" borderId="148" xfId="0" applyNumberFormat="1" applyFont="1" applyFill="1" applyBorder="1" applyAlignment="1">
      <alignment horizontal="center" vertical="center"/>
    </xf>
    <xf numFmtId="20" fontId="44" fillId="3" borderId="130" xfId="0" applyNumberFormat="1" applyFont="1" applyFill="1" applyBorder="1" applyAlignment="1">
      <alignment horizontal="center" vertical="center"/>
    </xf>
    <xf numFmtId="20" fontId="55" fillId="21" borderId="130" xfId="0" applyNumberFormat="1" applyFont="1" applyFill="1" applyBorder="1" applyAlignment="1">
      <alignment horizontal="center" vertical="center"/>
    </xf>
    <xf numFmtId="20" fontId="44" fillId="3" borderId="31" xfId="0" applyNumberFormat="1" applyFont="1" applyFill="1" applyBorder="1" applyAlignment="1">
      <alignment horizontal="center"/>
    </xf>
    <xf numFmtId="20" fontId="45" fillId="5" borderId="16" xfId="0" applyNumberFormat="1" applyFont="1" applyFill="1" applyBorder="1" applyAlignment="1">
      <alignment horizontal="center"/>
    </xf>
    <xf numFmtId="20" fontId="14" fillId="21" borderId="19" xfId="0" applyNumberFormat="1" applyFont="1" applyFill="1" applyBorder="1" applyAlignment="1">
      <alignment horizontal="center"/>
    </xf>
    <xf numFmtId="20" fontId="44" fillId="3" borderId="10" xfId="0" applyNumberFormat="1" applyFont="1" applyFill="1" applyBorder="1" applyAlignment="1">
      <alignment horizontal="center" vertical="center"/>
    </xf>
    <xf numFmtId="20" fontId="44" fillId="3" borderId="11" xfId="0" applyNumberFormat="1" applyFont="1" applyFill="1" applyBorder="1" applyAlignment="1">
      <alignment horizontal="center" vertical="center"/>
    </xf>
    <xf numFmtId="20" fontId="44" fillId="3" borderId="75" xfId="0" applyNumberFormat="1" applyFont="1" applyFill="1" applyBorder="1" applyAlignment="1">
      <alignment horizontal="center"/>
    </xf>
    <xf numFmtId="20" fontId="45" fillId="5" borderId="75" xfId="0" applyNumberFormat="1" applyFont="1" applyFill="1" applyBorder="1" applyAlignment="1">
      <alignment horizontal="center" vertical="center"/>
    </xf>
    <xf numFmtId="20" fontId="45" fillId="5" borderId="76" xfId="0" applyNumberFormat="1" applyFont="1" applyFill="1" applyBorder="1" applyAlignment="1">
      <alignment horizontal="center" vertical="center"/>
    </xf>
    <xf numFmtId="20" fontId="14" fillId="21" borderId="75" xfId="0" applyNumberFormat="1" applyFont="1" applyFill="1" applyBorder="1" applyAlignment="1">
      <alignment horizontal="center"/>
    </xf>
    <xf numFmtId="20" fontId="44" fillId="25" borderId="11" xfId="0" applyNumberFormat="1" applyFont="1" applyFill="1" applyBorder="1" applyAlignment="1">
      <alignment horizontal="center"/>
    </xf>
    <xf numFmtId="20" fontId="44" fillId="25" borderId="50" xfId="0" applyNumberFormat="1" applyFont="1" applyFill="1" applyBorder="1" applyAlignment="1">
      <alignment horizontal="center"/>
    </xf>
    <xf numFmtId="20" fontId="44" fillId="3" borderId="62" xfId="0" applyNumberFormat="1" applyFont="1" applyFill="1" applyBorder="1" applyAlignment="1">
      <alignment horizontal="center" vertical="center"/>
    </xf>
    <xf numFmtId="20" fontId="44" fillId="3" borderId="94" xfId="0" applyNumberFormat="1" applyFont="1" applyFill="1" applyBorder="1" applyAlignment="1">
      <alignment horizontal="center" vertical="center"/>
    </xf>
    <xf numFmtId="20" fontId="44" fillId="3" borderId="94" xfId="0" applyNumberFormat="1" applyFont="1" applyFill="1" applyBorder="1" applyAlignment="1">
      <alignment horizontal="center"/>
    </xf>
    <xf numFmtId="20" fontId="45" fillId="5" borderId="94" xfId="0" applyNumberFormat="1" applyFont="1" applyFill="1" applyBorder="1" applyAlignment="1">
      <alignment horizontal="center" vertical="center"/>
    </xf>
    <xf numFmtId="20" fontId="45" fillId="5" borderId="55" xfId="0" applyNumberFormat="1" applyFont="1" applyFill="1" applyBorder="1" applyAlignment="1">
      <alignment horizontal="center" vertical="center"/>
    </xf>
    <xf numFmtId="20" fontId="44" fillId="3" borderId="90" xfId="0" applyNumberFormat="1" applyFont="1" applyFill="1" applyBorder="1" applyAlignment="1">
      <alignment horizontal="center"/>
    </xf>
    <xf numFmtId="20" fontId="14" fillId="21" borderId="94" xfId="0" applyNumberFormat="1" applyFont="1" applyFill="1" applyBorder="1" applyAlignment="1">
      <alignment horizontal="center"/>
    </xf>
    <xf numFmtId="20" fontId="44" fillId="25" borderId="94" xfId="0" applyNumberFormat="1" applyFont="1" applyFill="1" applyBorder="1" applyAlignment="1">
      <alignment horizontal="center"/>
    </xf>
    <xf numFmtId="20" fontId="44" fillId="25" borderId="55" xfId="0" applyNumberFormat="1" applyFont="1" applyFill="1" applyBorder="1" applyAlignment="1">
      <alignment horizontal="center"/>
    </xf>
    <xf numFmtId="20" fontId="44" fillId="4" borderId="7" xfId="0" applyNumberFormat="1" applyFont="1" applyFill="1" applyBorder="1" applyAlignment="1">
      <alignment horizontal="center" vertical="center"/>
    </xf>
    <xf numFmtId="20" fontId="44" fillId="4" borderId="8" xfId="0" applyNumberFormat="1" applyFont="1" applyFill="1" applyBorder="1" applyAlignment="1">
      <alignment horizontal="center" vertical="center"/>
    </xf>
    <xf numFmtId="20" fontId="14" fillId="5" borderId="8" xfId="0" applyNumberFormat="1" applyFont="1" applyFill="1" applyBorder="1" applyAlignment="1">
      <alignment horizontal="center"/>
    </xf>
    <xf numFmtId="20" fontId="44" fillId="25" borderId="8" xfId="0" applyNumberFormat="1" applyFont="1" applyFill="1" applyBorder="1" applyAlignment="1">
      <alignment horizontal="center"/>
    </xf>
    <xf numFmtId="20" fontId="44" fillId="3" borderId="25" xfId="0" applyNumberFormat="1" applyFont="1" applyFill="1" applyBorder="1" applyAlignment="1">
      <alignment horizontal="center"/>
    </xf>
    <xf numFmtId="20" fontId="44" fillId="21" borderId="8" xfId="0" applyNumberFormat="1" applyFont="1" applyFill="1" applyBorder="1" applyAlignment="1">
      <alignment horizontal="center"/>
    </xf>
    <xf numFmtId="20" fontId="14" fillId="5" borderId="26" xfId="0" applyNumberFormat="1" applyFont="1" applyFill="1" applyBorder="1" applyAlignment="1">
      <alignment horizontal="center"/>
    </xf>
    <xf numFmtId="20" fontId="44" fillId="5" borderId="15" xfId="0" applyNumberFormat="1" applyFont="1" applyFill="1" applyBorder="1" applyAlignment="1">
      <alignment horizontal="center" vertical="center"/>
    </xf>
    <xf numFmtId="20" fontId="14" fillId="5" borderId="19" xfId="0" applyNumberFormat="1" applyFont="1" applyFill="1" applyBorder="1" applyAlignment="1">
      <alignment horizontal="center" vertical="center"/>
    </xf>
    <xf numFmtId="20" fontId="44" fillId="21" borderId="19" xfId="0" applyNumberFormat="1" applyFont="1" applyFill="1" applyBorder="1" applyAlignment="1">
      <alignment horizontal="center" vertical="center"/>
    </xf>
    <xf numFmtId="20" fontId="55" fillId="44" borderId="150" xfId="0" applyNumberFormat="1" applyFont="1" applyFill="1" applyBorder="1" applyAlignment="1">
      <alignment horizontal="center" vertical="center"/>
    </xf>
    <xf numFmtId="20" fontId="55" fillId="44" borderId="149" xfId="0" applyNumberFormat="1" applyFont="1" applyFill="1" applyBorder="1" applyAlignment="1">
      <alignment horizontal="center" vertical="center"/>
    </xf>
    <xf numFmtId="20" fontId="55" fillId="44" borderId="151" xfId="0" applyNumberFormat="1" applyFont="1" applyFill="1" applyBorder="1" applyAlignment="1">
      <alignment horizontal="center" vertical="center"/>
    </xf>
    <xf numFmtId="20" fontId="55" fillId="44" borderId="152" xfId="0" applyNumberFormat="1" applyFont="1" applyFill="1" applyBorder="1" applyAlignment="1">
      <alignment horizontal="center" vertical="center"/>
    </xf>
    <xf numFmtId="20" fontId="55" fillId="44" borderId="97" xfId="0" applyNumberFormat="1" applyFont="1" applyFill="1" applyBorder="1" applyAlignment="1">
      <alignment horizontal="center" vertical="center"/>
    </xf>
    <xf numFmtId="20" fontId="55" fillId="44" borderId="153" xfId="0" applyNumberFormat="1" applyFont="1" applyFill="1" applyBorder="1" applyAlignment="1">
      <alignment horizontal="center" vertical="center"/>
    </xf>
    <xf numFmtId="20" fontId="0" fillId="3" borderId="129" xfId="0" applyNumberFormat="1" applyFill="1" applyBorder="1" applyAlignment="1">
      <alignment horizontal="center"/>
    </xf>
    <xf numFmtId="20" fontId="0" fillId="3" borderId="101" xfId="0" applyNumberFormat="1" applyFill="1" applyBorder="1" applyAlignment="1">
      <alignment horizontal="center"/>
    </xf>
    <xf numFmtId="0" fontId="0" fillId="61" borderId="101" xfId="0" applyFill="1" applyBorder="1" applyAlignment="1">
      <alignment horizontal="center"/>
    </xf>
    <xf numFmtId="0" fontId="0" fillId="61" borderId="154" xfId="0" applyFill="1" applyBorder="1" applyAlignment="1">
      <alignment horizontal="center"/>
    </xf>
    <xf numFmtId="20" fontId="0" fillId="3" borderId="155" xfId="0" applyNumberFormat="1" applyFill="1" applyBorder="1" applyAlignment="1">
      <alignment horizontal="center"/>
    </xf>
    <xf numFmtId="0" fontId="0" fillId="21" borderId="101" xfId="0" applyFill="1" applyBorder="1"/>
    <xf numFmtId="0" fontId="0" fillId="61" borderId="101" xfId="0" applyFill="1" applyBorder="1"/>
    <xf numFmtId="0" fontId="0" fillId="61" borderId="154" xfId="0" applyFill="1" applyBorder="1"/>
    <xf numFmtId="20" fontId="31" fillId="0" borderId="0" xfId="0" applyNumberFormat="1" applyFont="1" applyAlignment="1">
      <alignment horizontal="center" vertical="center"/>
    </xf>
    <xf numFmtId="20" fontId="41" fillId="0" borderId="0" xfId="0" applyNumberFormat="1" applyFont="1" applyAlignment="1">
      <alignment horizontal="center" vertical="center"/>
    </xf>
    <xf numFmtId="0" fontId="41" fillId="4" borderId="0" xfId="0" applyFont="1" applyFill="1" applyAlignment="1">
      <alignment horizontal="center" vertical="center"/>
    </xf>
    <xf numFmtId="20" fontId="1" fillId="4" borderId="0" xfId="0" applyNumberFormat="1" applyFont="1" applyFill="1" applyAlignment="1">
      <alignment horizontal="center" vertical="center"/>
    </xf>
    <xf numFmtId="20" fontId="56" fillId="0" borderId="0" xfId="0" applyNumberFormat="1" applyFont="1" applyAlignment="1">
      <alignment horizontal="center" vertical="center"/>
    </xf>
    <xf numFmtId="0" fontId="12" fillId="0" borderId="0" xfId="0" applyFont="1"/>
    <xf numFmtId="0" fontId="0" fillId="0" borderId="156" xfId="0" applyBorder="1"/>
    <xf numFmtId="0" fontId="0" fillId="0" borderId="157" xfId="0" applyBorder="1"/>
    <xf numFmtId="0" fontId="11" fillId="0" borderId="0" xfId="0" applyFont="1"/>
    <xf numFmtId="20" fontId="48" fillId="3" borderId="113" xfId="0" applyNumberFormat="1" applyFont="1" applyFill="1" applyBorder="1" applyAlignment="1">
      <alignment horizontal="center" vertical="center"/>
    </xf>
    <xf numFmtId="20" fontId="51" fillId="3" borderId="117" xfId="0" applyNumberFormat="1" applyFont="1" applyFill="1" applyBorder="1" applyAlignment="1">
      <alignment horizontal="center" vertical="center"/>
    </xf>
    <xf numFmtId="20" fontId="48" fillId="3" borderId="113" xfId="0" applyNumberFormat="1" applyFont="1" applyFill="1" applyBorder="1" applyAlignment="1">
      <alignment horizontal="center"/>
    </xf>
    <xf numFmtId="0" fontId="47" fillId="29" borderId="120" xfId="0" applyFont="1" applyFill="1" applyBorder="1" applyAlignment="1">
      <alignment horizontal="center"/>
    </xf>
    <xf numFmtId="20" fontId="48" fillId="3" borderId="165" xfId="0" applyNumberFormat="1" applyFont="1" applyFill="1" applyBorder="1" applyAlignment="1">
      <alignment horizontal="center" vertical="center"/>
    </xf>
    <xf numFmtId="20" fontId="48" fillId="3" borderId="141" xfId="0" applyNumberFormat="1" applyFont="1" applyFill="1" applyBorder="1" applyAlignment="1">
      <alignment horizontal="center" vertical="center"/>
    </xf>
    <xf numFmtId="0" fontId="51" fillId="3" borderId="31" xfId="0" applyFont="1" applyFill="1" applyBorder="1" applyAlignment="1">
      <alignment horizontal="left" vertical="center"/>
    </xf>
    <xf numFmtId="20" fontId="48" fillId="3" borderId="16" xfId="0" applyNumberFormat="1" applyFont="1" applyFill="1" applyBorder="1" applyAlignment="1">
      <alignment horizontal="center" vertical="center"/>
    </xf>
    <xf numFmtId="0" fontId="51" fillId="67" borderId="114" xfId="1" applyFont="1" applyFill="1" applyBorder="1" applyAlignment="1">
      <alignment horizontal="left" vertical="center"/>
    </xf>
    <xf numFmtId="0" fontId="51" fillId="67" borderId="114" xfId="1" applyFont="1" applyFill="1" applyBorder="1" applyAlignment="1">
      <alignment horizontal="left"/>
    </xf>
    <xf numFmtId="0" fontId="48" fillId="67" borderId="114" xfId="0" applyFont="1" applyFill="1" applyBorder="1"/>
    <xf numFmtId="20" fontId="48" fillId="65" borderId="113" xfId="0" applyNumberFormat="1" applyFont="1" applyFill="1" applyBorder="1" applyAlignment="1">
      <alignment horizontal="center"/>
    </xf>
    <xf numFmtId="0" fontId="32" fillId="63" borderId="64" xfId="0" applyFont="1" applyFill="1" applyBorder="1" applyAlignment="1">
      <alignment horizontal="center" vertical="center"/>
    </xf>
    <xf numFmtId="0" fontId="32" fillId="63" borderId="68" xfId="0" applyFont="1" applyFill="1" applyBorder="1" applyAlignment="1">
      <alignment horizontal="center" vertical="center"/>
    </xf>
    <xf numFmtId="20" fontId="51" fillId="5" borderId="113" xfId="0" applyNumberFormat="1" applyFont="1" applyFill="1" applyBorder="1" applyAlignment="1">
      <alignment horizontal="center" vertical="center"/>
    </xf>
    <xf numFmtId="20" fontId="44" fillId="5" borderId="19" xfId="0" applyNumberFormat="1" applyFont="1" applyFill="1" applyBorder="1" applyAlignment="1">
      <alignment horizontal="center"/>
    </xf>
    <xf numFmtId="20" fontId="55" fillId="68" borderId="160" xfId="0" applyNumberFormat="1" applyFont="1" applyFill="1" applyBorder="1" applyAlignment="1">
      <alignment horizontal="center"/>
    </xf>
    <xf numFmtId="20" fontId="55" fillId="68" borderId="166" xfId="0" applyNumberFormat="1" applyFont="1" applyFill="1" applyBorder="1" applyAlignment="1">
      <alignment horizontal="center"/>
    </xf>
    <xf numFmtId="0" fontId="0" fillId="0" borderId="105" xfId="0" applyBorder="1"/>
    <xf numFmtId="16" fontId="0" fillId="0" borderId="105" xfId="0" applyNumberFormat="1" applyBorder="1"/>
    <xf numFmtId="20" fontId="44" fillId="25" borderId="158" xfId="0" applyNumberFormat="1" applyFont="1" applyFill="1" applyBorder="1" applyAlignment="1">
      <alignment horizontal="center"/>
    </xf>
    <xf numFmtId="20" fontId="44" fillId="25" borderId="113" xfId="0" applyNumberFormat="1" applyFont="1" applyFill="1" applyBorder="1" applyAlignment="1">
      <alignment horizontal="center"/>
    </xf>
    <xf numFmtId="20" fontId="44" fillId="54" borderId="159" xfId="0" applyNumberFormat="1" applyFont="1" applyFill="1" applyBorder="1" applyAlignment="1">
      <alignment horizontal="center"/>
    </xf>
    <xf numFmtId="20" fontId="44" fillId="54" borderId="101" xfId="0" applyNumberFormat="1" applyFont="1" applyFill="1" applyBorder="1" applyAlignment="1">
      <alignment horizontal="center"/>
    </xf>
    <xf numFmtId="20" fontId="44" fillId="36" borderId="19" xfId="0" applyNumberFormat="1" applyFont="1" applyFill="1" applyBorder="1" applyAlignment="1">
      <alignment horizontal="center"/>
    </xf>
    <xf numFmtId="0" fontId="0" fillId="0" borderId="77" xfId="0" applyBorder="1"/>
    <xf numFmtId="0" fontId="3" fillId="29" borderId="66" xfId="0" applyFont="1" applyFill="1" applyBorder="1" applyAlignment="1">
      <alignment horizontal="center" vertical="center"/>
    </xf>
    <xf numFmtId="0" fontId="32" fillId="29" borderId="65" xfId="0" applyFont="1" applyFill="1" applyBorder="1" applyAlignment="1">
      <alignment horizontal="center" vertical="center"/>
    </xf>
    <xf numFmtId="0" fontId="48" fillId="0" borderId="24" xfId="0" applyFont="1" applyBorder="1" applyAlignment="1">
      <alignment horizontal="center"/>
    </xf>
    <xf numFmtId="0" fontId="3" fillId="32" borderId="64" xfId="0" applyFont="1" applyFill="1" applyBorder="1" applyAlignment="1">
      <alignment horizontal="center" vertical="center"/>
    </xf>
    <xf numFmtId="0" fontId="3" fillId="32" borderId="65" xfId="0" applyFont="1" applyFill="1" applyBorder="1" applyAlignment="1">
      <alignment horizontal="center" vertical="center"/>
    </xf>
    <xf numFmtId="0" fontId="8" fillId="64" borderId="14" xfId="0" applyFont="1" applyFill="1" applyBorder="1" applyAlignment="1">
      <alignment horizontal="left" vertical="center"/>
    </xf>
    <xf numFmtId="20" fontId="48" fillId="3" borderId="103" xfId="0" applyNumberFormat="1" applyFont="1" applyFill="1" applyBorder="1" applyAlignment="1">
      <alignment horizontal="center" vertical="center"/>
    </xf>
    <xf numFmtId="20" fontId="51" fillId="3" borderId="103" xfId="0" applyNumberFormat="1" applyFont="1" applyFill="1" applyBorder="1" applyAlignment="1">
      <alignment horizontal="center" vertical="center"/>
    </xf>
    <xf numFmtId="20" fontId="2" fillId="0" borderId="15" xfId="0" applyNumberFormat="1" applyFont="1" applyBorder="1" applyAlignment="1">
      <alignment horizontal="center" vertical="center"/>
    </xf>
    <xf numFmtId="20" fontId="2" fillId="0" borderId="16" xfId="0" applyNumberFormat="1" applyFont="1" applyBorder="1" applyAlignment="1">
      <alignment horizontal="center" vertical="center"/>
    </xf>
    <xf numFmtId="0" fontId="32" fillId="63" borderId="86" xfId="0" applyFont="1" applyFill="1" applyBorder="1" applyAlignment="1">
      <alignment horizontal="center" vertical="center"/>
    </xf>
    <xf numFmtId="0" fontId="32" fillId="63" borderId="91" xfId="0" applyFont="1" applyFill="1" applyBorder="1" applyAlignment="1">
      <alignment horizontal="center" vertical="center"/>
    </xf>
    <xf numFmtId="0" fontId="50" fillId="67" borderId="168" xfId="0" applyFont="1" applyFill="1" applyBorder="1" applyAlignment="1">
      <alignment horizontal="center"/>
    </xf>
    <xf numFmtId="20" fontId="14" fillId="3" borderId="16" xfId="0" applyNumberFormat="1" applyFont="1" applyFill="1" applyBorder="1" applyAlignment="1">
      <alignment horizontal="center" vertical="center"/>
    </xf>
    <xf numFmtId="20" fontId="2" fillId="0" borderId="8" xfId="0" applyNumberFormat="1" applyFont="1" applyBorder="1" applyAlignment="1">
      <alignment horizontal="center" vertical="center"/>
    </xf>
    <xf numFmtId="20" fontId="2" fillId="0" borderId="17" xfId="0" applyNumberFormat="1" applyFont="1" applyBorder="1" applyAlignment="1">
      <alignment horizontal="center" vertical="center"/>
    </xf>
    <xf numFmtId="0" fontId="32" fillId="63" borderId="86" xfId="0" applyFont="1" applyFill="1" applyBorder="1" applyAlignment="1">
      <alignment horizontal="left" vertical="center"/>
    </xf>
    <xf numFmtId="0" fontId="32" fillId="63" borderId="91" xfId="0" applyFont="1" applyFill="1" applyBorder="1" applyAlignment="1">
      <alignment horizontal="left" vertical="center"/>
    </xf>
    <xf numFmtId="0" fontId="0" fillId="0" borderId="163" xfId="0" applyBorder="1"/>
    <xf numFmtId="20" fontId="51" fillId="3" borderId="143" xfId="0" applyNumberFormat="1" applyFont="1" applyFill="1" applyBorder="1" applyAlignment="1">
      <alignment horizontal="center" vertical="center"/>
    </xf>
    <xf numFmtId="20" fontId="51" fillId="3" borderId="170" xfId="0" applyNumberFormat="1" applyFont="1" applyFill="1" applyBorder="1" applyAlignment="1">
      <alignment horizontal="center" vertical="center"/>
    </xf>
    <xf numFmtId="16" fontId="0" fillId="29" borderId="2" xfId="0" applyNumberFormat="1" applyFill="1" applyBorder="1" applyAlignment="1">
      <alignment horizontal="right"/>
    </xf>
    <xf numFmtId="0" fontId="0" fillId="29" borderId="5" xfId="0" applyFill="1" applyBorder="1"/>
    <xf numFmtId="16" fontId="0" fillId="0" borderId="6" xfId="0" applyNumberFormat="1" applyBorder="1"/>
    <xf numFmtId="0" fontId="0" fillId="14" borderId="93" xfId="0" applyFill="1" applyBorder="1"/>
    <xf numFmtId="16" fontId="0" fillId="14" borderId="105" xfId="0" applyNumberFormat="1" applyFill="1" applyBorder="1"/>
    <xf numFmtId="16" fontId="0" fillId="14" borderId="105" xfId="0" applyNumberFormat="1" applyFill="1" applyBorder="1" applyAlignment="1">
      <alignment horizontal="right"/>
    </xf>
    <xf numFmtId="20" fontId="48" fillId="3" borderId="118" xfId="0" applyNumberFormat="1" applyFont="1" applyFill="1" applyBorder="1" applyAlignment="1">
      <alignment horizontal="center" vertical="center"/>
    </xf>
    <xf numFmtId="0" fontId="50" fillId="14" borderId="169" xfId="0" applyFont="1" applyFill="1" applyBorder="1" applyAlignment="1">
      <alignment horizontal="center" vertical="center" wrapText="1"/>
    </xf>
    <xf numFmtId="20" fontId="48" fillId="5" borderId="113" xfId="0" applyNumberFormat="1" applyFont="1" applyFill="1" applyBorder="1" applyAlignment="1">
      <alignment horizontal="center" vertical="center"/>
    </xf>
    <xf numFmtId="20" fontId="55" fillId="5" borderId="16" xfId="0" applyNumberFormat="1" applyFont="1" applyFill="1" applyBorder="1" applyAlignment="1">
      <alignment horizontal="center" vertical="center"/>
    </xf>
    <xf numFmtId="0" fontId="11" fillId="29" borderId="5" xfId="0" applyFont="1" applyFill="1" applyBorder="1" applyAlignment="1">
      <alignment horizontal="center" vertical="center"/>
    </xf>
    <xf numFmtId="0" fontId="11" fillId="29" borderId="4" xfId="0" applyFont="1" applyFill="1" applyBorder="1" applyAlignment="1">
      <alignment horizontal="center"/>
    </xf>
    <xf numFmtId="0" fontId="0" fillId="29" borderId="2" xfId="0" applyFill="1" applyBorder="1"/>
    <xf numFmtId="0" fontId="0" fillId="14" borderId="105" xfId="0" applyFill="1" applyBorder="1"/>
    <xf numFmtId="20" fontId="0" fillId="0" borderId="105" xfId="0" applyNumberFormat="1" applyBorder="1"/>
    <xf numFmtId="0" fontId="0" fillId="0" borderId="6" xfId="0" applyBorder="1"/>
    <xf numFmtId="0" fontId="0" fillId="23" borderId="93" xfId="0" applyFill="1" applyBorder="1"/>
    <xf numFmtId="16" fontId="0" fillId="23" borderId="105" xfId="0" applyNumberFormat="1" applyFill="1" applyBorder="1"/>
    <xf numFmtId="0" fontId="0" fillId="23" borderId="105" xfId="0" applyFill="1" applyBorder="1"/>
    <xf numFmtId="0" fontId="0" fillId="69" borderId="93" xfId="0" applyFill="1" applyBorder="1"/>
    <xf numFmtId="16" fontId="0" fillId="69" borderId="105" xfId="0" applyNumberFormat="1" applyFill="1" applyBorder="1"/>
    <xf numFmtId="0" fontId="0" fillId="69" borderId="105" xfId="0" applyFill="1" applyBorder="1"/>
    <xf numFmtId="20" fontId="2" fillId="0" borderId="7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0" fontId="0" fillId="47" borderId="93" xfId="0" applyFill="1" applyBorder="1"/>
    <xf numFmtId="16" fontId="0" fillId="47" borderId="105" xfId="0" applyNumberFormat="1" applyFill="1" applyBorder="1"/>
    <xf numFmtId="0" fontId="0" fillId="47" borderId="105" xfId="0" applyFill="1" applyBorder="1"/>
    <xf numFmtId="0" fontId="50" fillId="14" borderId="171" xfId="0" applyFont="1" applyFill="1" applyBorder="1" applyAlignment="1">
      <alignment horizontal="center" vertical="center" wrapText="1"/>
    </xf>
    <xf numFmtId="0" fontId="51" fillId="67" borderId="39" xfId="1" applyFont="1" applyFill="1" applyBorder="1" applyAlignment="1">
      <alignment horizontal="left" vertical="center"/>
    </xf>
    <xf numFmtId="20" fontId="48" fillId="3" borderId="96" xfId="0" applyNumberFormat="1" applyFont="1" applyFill="1" applyBorder="1" applyAlignment="1">
      <alignment horizontal="center" vertical="center"/>
    </xf>
    <xf numFmtId="0" fontId="51" fillId="67" borderId="16" xfId="1" applyFont="1" applyFill="1" applyBorder="1" applyAlignment="1">
      <alignment horizontal="left" vertical="center"/>
    </xf>
    <xf numFmtId="0" fontId="50" fillId="67" borderId="164" xfId="0" applyFont="1" applyFill="1" applyBorder="1" applyAlignment="1">
      <alignment horizontal="center"/>
    </xf>
    <xf numFmtId="0" fontId="51" fillId="3" borderId="49" xfId="0" applyFont="1" applyFill="1" applyBorder="1" applyAlignment="1">
      <alignment horizontal="left" vertical="center"/>
    </xf>
    <xf numFmtId="0" fontId="0" fillId="67" borderId="0" xfId="0" applyFill="1"/>
    <xf numFmtId="16" fontId="0" fillId="67" borderId="105" xfId="0" applyNumberFormat="1" applyFill="1" applyBorder="1"/>
    <xf numFmtId="0" fontId="0" fillId="67" borderId="105" xfId="0" applyFill="1" applyBorder="1"/>
    <xf numFmtId="0" fontId="51" fillId="67" borderId="172" xfId="1" applyFont="1" applyFill="1" applyBorder="1" applyAlignment="1">
      <alignment horizontal="left" vertical="center"/>
    </xf>
    <xf numFmtId="0" fontId="0" fillId="70" borderId="0" xfId="0" applyFill="1"/>
    <xf numFmtId="20" fontId="48" fillId="59" borderId="148" xfId="0" applyNumberFormat="1" applyFont="1" applyFill="1" applyBorder="1" applyAlignment="1">
      <alignment horizontal="center" vertical="center"/>
    </xf>
    <xf numFmtId="20" fontId="48" fillId="59" borderId="130" xfId="0" applyNumberFormat="1" applyFont="1" applyFill="1" applyBorder="1" applyAlignment="1">
      <alignment horizontal="center" vertical="center"/>
    </xf>
    <xf numFmtId="0" fontId="43" fillId="32" borderId="58" xfId="0" applyFont="1" applyFill="1" applyBorder="1" applyAlignment="1">
      <alignment horizontal="left" vertical="center"/>
    </xf>
    <xf numFmtId="0" fontId="43" fillId="32" borderId="173" xfId="0" applyFont="1" applyFill="1" applyBorder="1" applyAlignment="1">
      <alignment horizontal="left" vertical="center"/>
    </xf>
    <xf numFmtId="0" fontId="3" fillId="32" borderId="57" xfId="0" applyFont="1" applyFill="1" applyBorder="1" applyAlignment="1">
      <alignment horizontal="left" vertical="center"/>
    </xf>
    <xf numFmtId="0" fontId="32" fillId="32" borderId="173" xfId="0" applyFont="1" applyFill="1" applyBorder="1" applyAlignment="1">
      <alignment horizontal="left" vertical="center"/>
    </xf>
    <xf numFmtId="0" fontId="32" fillId="29" borderId="175" xfId="0" applyFont="1" applyFill="1" applyBorder="1" applyAlignment="1">
      <alignment horizontal="left" vertical="center"/>
    </xf>
    <xf numFmtId="0" fontId="32" fillId="29" borderId="176" xfId="0" applyFont="1" applyFill="1" applyBorder="1" applyAlignment="1">
      <alignment horizontal="left" vertical="center"/>
    </xf>
    <xf numFmtId="0" fontId="32" fillId="29" borderId="174" xfId="0" applyFont="1" applyFill="1" applyBorder="1" applyAlignment="1">
      <alignment horizontal="left" vertical="center"/>
    </xf>
    <xf numFmtId="0" fontId="32" fillId="29" borderId="173" xfId="0" applyFont="1" applyFill="1" applyBorder="1" applyAlignment="1">
      <alignment horizontal="left" vertical="center"/>
    </xf>
    <xf numFmtId="20" fontId="55" fillId="5" borderId="8" xfId="0" applyNumberFormat="1" applyFont="1" applyFill="1" applyBorder="1" applyAlignment="1">
      <alignment horizontal="center" vertical="center"/>
    </xf>
    <xf numFmtId="20" fontId="55" fillId="5" borderId="19" xfId="0" applyNumberFormat="1" applyFont="1" applyFill="1" applyBorder="1" applyAlignment="1">
      <alignment horizontal="center" vertical="center"/>
    </xf>
    <xf numFmtId="0" fontId="0" fillId="55" borderId="93" xfId="0" applyFill="1" applyBorder="1"/>
    <xf numFmtId="16" fontId="0" fillId="55" borderId="105" xfId="0" applyNumberFormat="1" applyFill="1" applyBorder="1"/>
    <xf numFmtId="0" fontId="0" fillId="55" borderId="105" xfId="0" applyFill="1" applyBorder="1"/>
    <xf numFmtId="0" fontId="32" fillId="63" borderId="175" xfId="0" applyFont="1" applyFill="1" applyBorder="1" applyAlignment="1">
      <alignment horizontal="left" vertical="center"/>
    </xf>
    <xf numFmtId="0" fontId="32" fillId="63" borderId="177" xfId="0" applyFont="1" applyFill="1" applyBorder="1" applyAlignment="1">
      <alignment horizontal="left" vertical="center"/>
    </xf>
    <xf numFmtId="20" fontId="45" fillId="5" borderId="113" xfId="0" applyNumberFormat="1" applyFont="1" applyFill="1" applyBorder="1" applyAlignment="1">
      <alignment horizontal="center" vertical="center"/>
    </xf>
    <xf numFmtId="20" fontId="44" fillId="3" borderId="113" xfId="0" applyNumberFormat="1" applyFont="1" applyFill="1" applyBorder="1" applyAlignment="1">
      <alignment horizontal="center"/>
    </xf>
    <xf numFmtId="0" fontId="3" fillId="9" borderId="58" xfId="0" applyFont="1" applyFill="1" applyBorder="1" applyAlignment="1">
      <alignment vertical="center"/>
    </xf>
    <xf numFmtId="0" fontId="3" fillId="9" borderId="57" xfId="0" applyFont="1" applyFill="1" applyBorder="1" applyAlignment="1">
      <alignment vertical="center"/>
    </xf>
    <xf numFmtId="0" fontId="3" fillId="7" borderId="71" xfId="0" applyFont="1" applyFill="1" applyBorder="1" applyAlignment="1">
      <alignment vertical="center"/>
    </xf>
    <xf numFmtId="20" fontId="55" fillId="5" borderId="40" xfId="0" applyNumberFormat="1" applyFont="1" applyFill="1" applyBorder="1" applyAlignment="1">
      <alignment horizontal="center" vertical="center"/>
    </xf>
    <xf numFmtId="20" fontId="55" fillId="5" borderId="41" xfId="0" applyNumberFormat="1" applyFont="1" applyFill="1" applyBorder="1" applyAlignment="1">
      <alignment horizontal="center" vertical="center"/>
    </xf>
    <xf numFmtId="20" fontId="55" fillId="5" borderId="42" xfId="0" applyNumberFormat="1" applyFont="1" applyFill="1" applyBorder="1" applyAlignment="1">
      <alignment horizontal="center" vertical="center"/>
    </xf>
    <xf numFmtId="0" fontId="0" fillId="67" borderId="93" xfId="0" applyFill="1" applyBorder="1"/>
    <xf numFmtId="20" fontId="48" fillId="55" borderId="141" xfId="0" applyNumberFormat="1" applyFont="1" applyFill="1" applyBorder="1" applyAlignment="1">
      <alignment horizontal="center" vertical="center"/>
    </xf>
    <xf numFmtId="0" fontId="0" fillId="66" borderId="93" xfId="0" applyFill="1" applyBorder="1"/>
    <xf numFmtId="16" fontId="0" fillId="66" borderId="105" xfId="0" applyNumberFormat="1" applyFill="1" applyBorder="1"/>
    <xf numFmtId="0" fontId="0" fillId="66" borderId="105" xfId="0" applyFill="1" applyBorder="1"/>
    <xf numFmtId="16" fontId="0" fillId="3" borderId="105" xfId="0" applyNumberFormat="1" applyFill="1" applyBorder="1"/>
    <xf numFmtId="0" fontId="0" fillId="3" borderId="105" xfId="0" applyFill="1" applyBorder="1"/>
    <xf numFmtId="20" fontId="44" fillId="25" borderId="115" xfId="0" applyNumberFormat="1" applyFont="1" applyFill="1" applyBorder="1" applyAlignment="1">
      <alignment horizontal="center"/>
    </xf>
    <xf numFmtId="20" fontId="14" fillId="3" borderId="181" xfId="0" applyNumberFormat="1" applyFont="1" applyFill="1" applyBorder="1" applyAlignment="1">
      <alignment horizontal="center"/>
    </xf>
    <xf numFmtId="16" fontId="0" fillId="14" borderId="70" xfId="0" applyNumberFormat="1" applyFill="1" applyBorder="1"/>
    <xf numFmtId="20" fontId="48" fillId="5" borderId="118" xfId="0" applyNumberFormat="1" applyFont="1" applyFill="1" applyBorder="1" applyAlignment="1">
      <alignment horizontal="center" vertical="center"/>
    </xf>
    <xf numFmtId="0" fontId="0" fillId="3" borderId="93" xfId="0" applyFill="1" applyBorder="1"/>
    <xf numFmtId="20" fontId="2" fillId="0" borderId="9" xfId="0" applyNumberFormat="1" applyFont="1" applyBorder="1" applyAlignment="1">
      <alignment horizontal="center" vertical="center"/>
    </xf>
    <xf numFmtId="20" fontId="48" fillId="61" borderId="113" xfId="0" applyNumberFormat="1" applyFont="1" applyFill="1" applyBorder="1" applyAlignment="1">
      <alignment horizontal="center" vertical="center"/>
    </xf>
    <xf numFmtId="20" fontId="2" fillId="3" borderId="11" xfId="0" applyNumberFormat="1" applyFont="1" applyFill="1" applyBorder="1" applyAlignment="1">
      <alignment horizontal="center" vertical="center"/>
    </xf>
    <xf numFmtId="20" fontId="55" fillId="5" borderId="11" xfId="0" applyNumberFormat="1" applyFont="1" applyFill="1" applyBorder="1" applyAlignment="1">
      <alignment horizontal="center" vertical="center"/>
    </xf>
    <xf numFmtId="0" fontId="0" fillId="47" borderId="70" xfId="0" applyFill="1" applyBorder="1"/>
    <xf numFmtId="16" fontId="0" fillId="47" borderId="70" xfId="0" applyNumberFormat="1" applyFill="1" applyBorder="1"/>
    <xf numFmtId="0" fontId="0" fillId="47" borderId="0" xfId="0" applyFill="1"/>
    <xf numFmtId="16" fontId="0" fillId="47" borderId="0" xfId="0" applyNumberFormat="1" applyFill="1"/>
    <xf numFmtId="0" fontId="3" fillId="32" borderId="68" xfId="0" applyFont="1" applyFill="1" applyBorder="1" applyAlignment="1">
      <alignment horizontal="center" vertical="center"/>
    </xf>
    <xf numFmtId="20" fontId="48" fillId="59" borderId="183" xfId="0" applyNumberFormat="1" applyFont="1" applyFill="1" applyBorder="1" applyAlignment="1">
      <alignment horizontal="center" vertical="center"/>
    </xf>
    <xf numFmtId="0" fontId="47" fillId="62" borderId="3" xfId="0" applyFont="1" applyFill="1" applyBorder="1" applyAlignment="1">
      <alignment horizontal="center"/>
    </xf>
    <xf numFmtId="0" fontId="47" fillId="0" borderId="144" xfId="0" applyFont="1" applyBorder="1" applyAlignment="1">
      <alignment horizontal="center"/>
    </xf>
    <xf numFmtId="0" fontId="48" fillId="14" borderId="78" xfId="0" applyFont="1" applyFill="1" applyBorder="1" applyAlignment="1">
      <alignment horizontal="left" vertical="center"/>
    </xf>
    <xf numFmtId="0" fontId="48" fillId="14" borderId="80" xfId="0" applyFont="1" applyFill="1" applyBorder="1" applyAlignment="1">
      <alignment horizontal="left" vertical="center"/>
    </xf>
    <xf numFmtId="0" fontId="51" fillId="14" borderId="80" xfId="0" applyFont="1" applyFill="1" applyBorder="1" applyAlignment="1">
      <alignment horizontal="left" vertical="center"/>
    </xf>
    <xf numFmtId="0" fontId="48" fillId="14" borderId="169" xfId="0" applyFont="1" applyFill="1" applyBorder="1" applyAlignment="1">
      <alignment horizontal="left" vertical="center"/>
    </xf>
    <xf numFmtId="16" fontId="0" fillId="3" borderId="0" xfId="0" applyNumberFormat="1" applyFill="1"/>
    <xf numFmtId="0" fontId="58" fillId="59" borderId="93" xfId="0" applyFont="1" applyFill="1" applyBorder="1"/>
    <xf numFmtId="0" fontId="58" fillId="59" borderId="105" xfId="0" applyFont="1" applyFill="1" applyBorder="1"/>
    <xf numFmtId="20" fontId="14" fillId="61" borderId="113" xfId="0" applyNumberFormat="1" applyFont="1" applyFill="1" applyBorder="1" applyAlignment="1">
      <alignment horizontal="center" vertical="center"/>
    </xf>
    <xf numFmtId="20" fontId="14" fillId="3" borderId="113" xfId="0" applyNumberFormat="1" applyFont="1" applyFill="1" applyBorder="1" applyAlignment="1">
      <alignment horizontal="center"/>
    </xf>
    <xf numFmtId="20" fontId="14" fillId="3" borderId="113" xfId="0" applyNumberFormat="1" applyFont="1" applyFill="1" applyBorder="1" applyAlignment="1">
      <alignment horizontal="center" vertical="center"/>
    </xf>
    <xf numFmtId="20" fontId="44" fillId="54" borderId="113" xfId="0" applyNumberFormat="1" applyFont="1" applyFill="1" applyBorder="1" applyAlignment="1">
      <alignment horizontal="center"/>
    </xf>
    <xf numFmtId="20" fontId="44" fillId="3" borderId="115" xfId="0" applyNumberFormat="1" applyFont="1" applyFill="1" applyBorder="1" applyAlignment="1">
      <alignment horizontal="center"/>
    </xf>
    <xf numFmtId="20" fontId="14" fillId="3" borderId="179" xfId="0" applyNumberFormat="1" applyFont="1" applyFill="1" applyBorder="1" applyAlignment="1">
      <alignment horizontal="center"/>
    </xf>
    <xf numFmtId="20" fontId="44" fillId="3" borderId="113" xfId="0" applyNumberFormat="1" applyFont="1" applyFill="1" applyBorder="1" applyAlignment="1">
      <alignment horizontal="center" vertical="center"/>
    </xf>
    <xf numFmtId="0" fontId="50" fillId="67" borderId="80" xfId="0" applyFont="1" applyFill="1" applyBorder="1" applyAlignment="1">
      <alignment horizontal="center"/>
    </xf>
    <xf numFmtId="20" fontId="51" fillId="3" borderId="118" xfId="0" applyNumberFormat="1" applyFont="1" applyFill="1" applyBorder="1" applyAlignment="1">
      <alignment horizontal="center" vertical="center"/>
    </xf>
    <xf numFmtId="0" fontId="50" fillId="14" borderId="187" xfId="0" applyFont="1" applyFill="1" applyBorder="1" applyAlignment="1">
      <alignment horizontal="center" vertical="center" wrapText="1"/>
    </xf>
    <xf numFmtId="20" fontId="48" fillId="59" borderId="188" xfId="0" applyNumberFormat="1" applyFont="1" applyFill="1" applyBorder="1" applyAlignment="1">
      <alignment horizontal="center" vertical="center"/>
    </xf>
    <xf numFmtId="20" fontId="48" fillId="59" borderId="189" xfId="0" applyNumberFormat="1" applyFont="1" applyFill="1" applyBorder="1" applyAlignment="1">
      <alignment horizontal="center" vertical="center"/>
    </xf>
    <xf numFmtId="20" fontId="48" fillId="59" borderId="190" xfId="0" applyNumberFormat="1" applyFont="1" applyFill="1" applyBorder="1" applyAlignment="1">
      <alignment horizontal="center" vertical="center"/>
    </xf>
    <xf numFmtId="20" fontId="48" fillId="3" borderId="117" xfId="0" applyNumberFormat="1" applyFont="1" applyFill="1" applyBorder="1" applyAlignment="1">
      <alignment horizontal="center" vertical="center"/>
    </xf>
    <xf numFmtId="20" fontId="14" fillId="5" borderId="113" xfId="0" applyNumberFormat="1" applyFont="1" applyFill="1" applyBorder="1" applyAlignment="1">
      <alignment horizontal="center" vertical="center"/>
    </xf>
    <xf numFmtId="20" fontId="44" fillId="25" borderId="178" xfId="0" applyNumberFormat="1" applyFont="1" applyFill="1" applyBorder="1" applyAlignment="1">
      <alignment horizontal="center"/>
    </xf>
    <xf numFmtId="20" fontId="14" fillId="3" borderId="178" xfId="0" applyNumberFormat="1" applyFont="1" applyFill="1" applyBorder="1" applyAlignment="1">
      <alignment horizontal="center"/>
    </xf>
    <xf numFmtId="20" fontId="44" fillId="3" borderId="179" xfId="0" applyNumberFormat="1" applyFont="1" applyFill="1" applyBorder="1" applyAlignment="1">
      <alignment horizontal="center"/>
    </xf>
    <xf numFmtId="20" fontId="44" fillId="3" borderId="180" xfId="0" applyNumberFormat="1" applyFont="1" applyFill="1" applyBorder="1" applyAlignment="1">
      <alignment horizontal="center"/>
    </xf>
    <xf numFmtId="0" fontId="13" fillId="4" borderId="93" xfId="0" applyFont="1" applyFill="1" applyBorder="1"/>
    <xf numFmtId="16" fontId="13" fillId="4" borderId="105" xfId="0" applyNumberFormat="1" applyFont="1" applyFill="1" applyBorder="1"/>
    <xf numFmtId="0" fontId="13" fillId="4" borderId="105" xfId="0" applyFont="1" applyFill="1" applyBorder="1"/>
    <xf numFmtId="16" fontId="0" fillId="55" borderId="0" xfId="0" applyNumberFormat="1" applyFill="1"/>
    <xf numFmtId="0" fontId="0" fillId="55" borderId="16" xfId="0" applyFill="1" applyBorder="1"/>
    <xf numFmtId="16" fontId="0" fillId="55" borderId="16" xfId="0" applyNumberFormat="1" applyFill="1" applyBorder="1"/>
    <xf numFmtId="16" fontId="0" fillId="67" borderId="0" xfId="0" applyNumberFormat="1" applyFill="1"/>
    <xf numFmtId="0" fontId="0" fillId="67" borderId="16" xfId="0" applyFill="1" applyBorder="1"/>
    <xf numFmtId="16" fontId="0" fillId="67" borderId="16" xfId="0" applyNumberFormat="1" applyFill="1" applyBorder="1"/>
    <xf numFmtId="20" fontId="48" fillId="14" borderId="141" xfId="0" applyNumberFormat="1" applyFont="1" applyFill="1" applyBorder="1" applyAlignment="1">
      <alignment horizontal="center" vertical="center"/>
    </xf>
    <xf numFmtId="20" fontId="14" fillId="17" borderId="113" xfId="0" applyNumberFormat="1" applyFont="1" applyFill="1" applyBorder="1" applyAlignment="1">
      <alignment horizontal="center"/>
    </xf>
    <xf numFmtId="20" fontId="48" fillId="8" borderId="113" xfId="0" applyNumberFormat="1" applyFont="1" applyFill="1" applyBorder="1" applyAlignment="1">
      <alignment horizontal="center" vertical="center"/>
    </xf>
    <xf numFmtId="20" fontId="51" fillId="8" borderId="113" xfId="0" applyNumberFormat="1" applyFont="1" applyFill="1" applyBorder="1" applyAlignment="1">
      <alignment horizontal="center" vertical="center"/>
    </xf>
    <xf numFmtId="16" fontId="0" fillId="25" borderId="0" xfId="0" applyNumberFormat="1" applyFill="1"/>
    <xf numFmtId="0" fontId="0" fillId="25" borderId="93" xfId="0" applyFill="1" applyBorder="1"/>
    <xf numFmtId="16" fontId="0" fillId="25" borderId="105" xfId="0" applyNumberFormat="1" applyFill="1" applyBorder="1"/>
    <xf numFmtId="0" fontId="0" fillId="25" borderId="105" xfId="0" applyFill="1" applyBorder="1"/>
    <xf numFmtId="0" fontId="0" fillId="25" borderId="16" xfId="0" applyFill="1" applyBorder="1"/>
    <xf numFmtId="16" fontId="0" fillId="25" borderId="16" xfId="0" applyNumberFormat="1" applyFill="1" applyBorder="1"/>
    <xf numFmtId="20" fontId="51" fillId="14" borderId="113" xfId="0" applyNumberFormat="1" applyFont="1" applyFill="1" applyBorder="1" applyAlignment="1">
      <alignment horizontal="center" vertical="center"/>
    </xf>
    <xf numFmtId="20" fontId="51" fillId="14" borderId="143" xfId="0" applyNumberFormat="1" applyFont="1" applyFill="1" applyBorder="1" applyAlignment="1">
      <alignment horizontal="center" vertical="center"/>
    </xf>
    <xf numFmtId="20" fontId="51" fillId="5" borderId="143" xfId="0" applyNumberFormat="1" applyFont="1" applyFill="1" applyBorder="1" applyAlignment="1">
      <alignment horizontal="center" vertical="center"/>
    </xf>
    <xf numFmtId="20" fontId="55" fillId="5" borderId="12" xfId="0" applyNumberFormat="1" applyFont="1" applyFill="1" applyBorder="1" applyAlignment="1">
      <alignment horizontal="center" vertical="center"/>
    </xf>
    <xf numFmtId="20" fontId="44" fillId="54" borderId="178" xfId="0" applyNumberFormat="1" applyFont="1" applyFill="1" applyBorder="1" applyAlignment="1">
      <alignment horizontal="center"/>
    </xf>
    <xf numFmtId="20" fontId="44" fillId="3" borderId="178" xfId="0" applyNumberFormat="1" applyFont="1" applyFill="1" applyBorder="1" applyAlignment="1">
      <alignment horizontal="center" vertical="center"/>
    </xf>
    <xf numFmtId="20" fontId="44" fillId="3" borderId="117" xfId="0" applyNumberFormat="1" applyFont="1" applyFill="1" applyBorder="1" applyAlignment="1">
      <alignment horizontal="center"/>
    </xf>
    <xf numFmtId="20" fontId="2" fillId="0" borderId="113" xfId="0" applyNumberFormat="1" applyFont="1" applyBorder="1" applyAlignment="1">
      <alignment horizontal="center" vertical="center"/>
    </xf>
    <xf numFmtId="20" fontId="2" fillId="0" borderId="185" xfId="0" applyNumberFormat="1" applyFont="1" applyBorder="1" applyAlignment="1">
      <alignment horizontal="center" vertical="center"/>
    </xf>
    <xf numFmtId="20" fontId="2" fillId="0" borderId="115" xfId="0" applyNumberFormat="1" applyFont="1" applyBorder="1" applyAlignment="1">
      <alignment horizontal="center" vertical="center"/>
    </xf>
    <xf numFmtId="20" fontId="2" fillId="0" borderId="186" xfId="0" applyNumberFormat="1" applyFont="1" applyBorder="1" applyAlignment="1">
      <alignment horizontal="center" vertical="center"/>
    </xf>
    <xf numFmtId="20" fontId="2" fillId="0" borderId="118" xfId="0" applyNumberFormat="1" applyFont="1" applyBorder="1" applyAlignment="1">
      <alignment horizontal="center" vertical="center"/>
    </xf>
    <xf numFmtId="20" fontId="2" fillId="0" borderId="178" xfId="0" applyNumberFormat="1" applyFont="1" applyBorder="1" applyAlignment="1">
      <alignment horizontal="center" vertical="center"/>
    </xf>
    <xf numFmtId="20" fontId="2" fillId="0" borderId="179" xfId="0" applyNumberFormat="1" applyFont="1" applyBorder="1" applyAlignment="1">
      <alignment horizontal="center" vertical="center"/>
    </xf>
    <xf numFmtId="20" fontId="44" fillId="5" borderId="113" xfId="0" applyNumberFormat="1" applyFont="1" applyFill="1" applyBorder="1" applyAlignment="1">
      <alignment horizontal="center"/>
    </xf>
    <xf numFmtId="20" fontId="48" fillId="5" borderId="117" xfId="0" applyNumberFormat="1" applyFont="1" applyFill="1" applyBorder="1" applyAlignment="1">
      <alignment horizontal="center" vertical="center"/>
    </xf>
    <xf numFmtId="20" fontId="2" fillId="61" borderId="11" xfId="0" applyNumberFormat="1" applyFont="1" applyFill="1" applyBorder="1" applyAlignment="1">
      <alignment horizontal="center" vertical="center"/>
    </xf>
    <xf numFmtId="0" fontId="32" fillId="63" borderId="66" xfId="0" applyFont="1" applyFill="1" applyBorder="1" applyAlignment="1">
      <alignment horizontal="center" vertical="center"/>
    </xf>
    <xf numFmtId="20" fontId="46" fillId="5" borderId="10" xfId="0" applyNumberFormat="1" applyFont="1" applyFill="1" applyBorder="1" applyAlignment="1">
      <alignment horizontal="center" vertical="center"/>
    </xf>
    <xf numFmtId="20" fontId="46" fillId="5" borderId="11" xfId="0" applyNumberFormat="1" applyFont="1" applyFill="1" applyBorder="1" applyAlignment="1">
      <alignment horizontal="center" vertical="center"/>
    </xf>
    <xf numFmtId="20" fontId="46" fillId="3" borderId="11" xfId="0" applyNumberFormat="1" applyFont="1" applyFill="1" applyBorder="1" applyAlignment="1">
      <alignment horizontal="center" vertical="center"/>
    </xf>
    <xf numFmtId="20" fontId="44" fillId="15" borderId="11" xfId="0" applyNumberFormat="1" applyFont="1" applyFill="1" applyBorder="1" applyAlignment="1">
      <alignment horizontal="center" vertical="center"/>
    </xf>
    <xf numFmtId="20" fontId="44" fillId="5" borderId="11" xfId="0" applyNumberFormat="1" applyFont="1" applyFill="1" applyBorder="1" applyAlignment="1">
      <alignment horizontal="center" vertical="center"/>
    </xf>
    <xf numFmtId="20" fontId="46" fillId="3" borderId="12" xfId="0" applyNumberFormat="1" applyFont="1" applyFill="1" applyBorder="1" applyAlignment="1">
      <alignment horizontal="center" vertical="center"/>
    </xf>
    <xf numFmtId="20" fontId="2" fillId="3" borderId="7" xfId="0" applyNumberFormat="1" applyFont="1" applyFill="1" applyBorder="1" applyAlignment="1">
      <alignment horizontal="center" vertical="center"/>
    </xf>
    <xf numFmtId="20" fontId="55" fillId="3" borderId="8" xfId="0" applyNumberFormat="1" applyFont="1" applyFill="1" applyBorder="1" applyAlignment="1">
      <alignment horizontal="center" vertical="center"/>
    </xf>
    <xf numFmtId="20" fontId="2" fillId="3" borderId="15" xfId="0" applyNumberFormat="1" applyFont="1" applyFill="1" applyBorder="1" applyAlignment="1">
      <alignment horizontal="center" vertical="center"/>
    </xf>
    <xf numFmtId="20" fontId="55" fillId="3" borderId="16" xfId="0" applyNumberFormat="1" applyFont="1" applyFill="1" applyBorder="1" applyAlignment="1">
      <alignment horizontal="center" vertical="center"/>
    </xf>
    <xf numFmtId="20" fontId="2" fillId="3" borderId="17" xfId="0" applyNumberFormat="1" applyFont="1" applyFill="1" applyBorder="1" applyAlignment="1">
      <alignment horizontal="center" vertical="center"/>
    </xf>
    <xf numFmtId="20" fontId="2" fillId="3" borderId="10" xfId="0" applyNumberFormat="1" applyFont="1" applyFill="1" applyBorder="1" applyAlignment="1">
      <alignment horizontal="center" vertical="center"/>
    </xf>
    <xf numFmtId="20" fontId="7" fillId="4" borderId="0" xfId="0" applyNumberFormat="1" applyFont="1" applyFill="1" applyAlignment="1">
      <alignment horizontal="center" vertical="center"/>
    </xf>
    <xf numFmtId="16" fontId="0" fillId="28" borderId="0" xfId="0" applyNumberFormat="1" applyFill="1"/>
    <xf numFmtId="20" fontId="48" fillId="67" borderId="141" xfId="0" applyNumberFormat="1" applyFont="1" applyFill="1" applyBorder="1" applyAlignment="1">
      <alignment horizontal="center" vertical="center"/>
    </xf>
    <xf numFmtId="20" fontId="48" fillId="66" borderId="141" xfId="0" applyNumberFormat="1" applyFont="1" applyFill="1" applyBorder="1" applyAlignment="1">
      <alignment horizontal="center" vertical="center"/>
    </xf>
    <xf numFmtId="0" fontId="32" fillId="32" borderId="193" xfId="0" applyFont="1" applyFill="1" applyBorder="1" applyAlignment="1">
      <alignment horizontal="left" vertical="center"/>
    </xf>
    <xf numFmtId="20" fontId="44" fillId="3" borderId="132" xfId="0" applyNumberFormat="1" applyFont="1" applyFill="1" applyBorder="1" applyAlignment="1">
      <alignment horizontal="center" vertical="center"/>
    </xf>
    <xf numFmtId="20" fontId="44" fillId="3" borderId="132" xfId="0" applyNumberFormat="1" applyFont="1" applyFill="1" applyBorder="1" applyAlignment="1">
      <alignment horizontal="center"/>
    </xf>
    <xf numFmtId="20" fontId="48" fillId="28" borderId="141" xfId="0" applyNumberFormat="1" applyFont="1" applyFill="1" applyBorder="1" applyAlignment="1">
      <alignment horizontal="center" vertical="center"/>
    </xf>
    <xf numFmtId="20" fontId="48" fillId="66" borderId="113" xfId="0" applyNumberFormat="1" applyFont="1" applyFill="1" applyBorder="1" applyAlignment="1">
      <alignment horizontal="center" vertical="center"/>
    </xf>
    <xf numFmtId="20" fontId="51" fillId="28" borderId="113" xfId="0" applyNumberFormat="1" applyFont="1" applyFill="1" applyBorder="1" applyAlignment="1">
      <alignment horizontal="center" vertical="center"/>
    </xf>
    <xf numFmtId="20" fontId="48" fillId="67" borderId="113" xfId="0" applyNumberFormat="1" applyFont="1" applyFill="1" applyBorder="1" applyAlignment="1">
      <alignment horizontal="center"/>
    </xf>
    <xf numFmtId="20" fontId="45" fillId="5" borderId="113" xfId="0" applyNumberFormat="1" applyFont="1" applyFill="1" applyBorder="1" applyAlignment="1">
      <alignment horizontal="center"/>
    </xf>
    <xf numFmtId="20" fontId="45" fillId="5" borderId="132" xfId="0" applyNumberFormat="1" applyFont="1" applyFill="1" applyBorder="1" applyAlignment="1">
      <alignment horizontal="center"/>
    </xf>
    <xf numFmtId="20" fontId="44" fillId="5" borderId="20" xfId="0" applyNumberFormat="1" applyFont="1" applyFill="1" applyBorder="1" applyAlignment="1">
      <alignment horizontal="center"/>
    </xf>
    <xf numFmtId="20" fontId="14" fillId="54" borderId="16" xfId="0" applyNumberFormat="1" applyFont="1" applyFill="1" applyBorder="1" applyAlignment="1">
      <alignment horizontal="center" vertical="center"/>
    </xf>
    <xf numFmtId="20" fontId="12" fillId="4" borderId="0" xfId="0" applyNumberFormat="1" applyFont="1" applyFill="1" applyAlignment="1">
      <alignment horizontal="center" vertical="center"/>
    </xf>
    <xf numFmtId="20" fontId="27" fillId="4" borderId="0" xfId="0" applyNumberFormat="1" applyFont="1" applyFill="1" applyAlignment="1">
      <alignment horizontal="center" vertical="center"/>
    </xf>
    <xf numFmtId="0" fontId="32" fillId="29" borderId="66" xfId="0" applyFont="1" applyFill="1" applyBorder="1" applyAlignment="1">
      <alignment horizontal="center" vertical="center"/>
    </xf>
    <xf numFmtId="20" fontId="48" fillId="59" borderId="194" xfId="0" applyNumberFormat="1" applyFont="1" applyFill="1" applyBorder="1" applyAlignment="1">
      <alignment horizontal="center" vertical="center"/>
    </xf>
    <xf numFmtId="20" fontId="51" fillId="5" borderId="195" xfId="0" applyNumberFormat="1" applyFont="1" applyFill="1" applyBorder="1" applyAlignment="1">
      <alignment horizontal="center" vertical="center"/>
    </xf>
    <xf numFmtId="0" fontId="51" fillId="67" borderId="65" xfId="1" applyFont="1" applyFill="1" applyBorder="1" applyAlignment="1">
      <alignment horizontal="left"/>
    </xf>
    <xf numFmtId="0" fontId="48" fillId="67" borderId="65" xfId="0" applyFont="1" applyFill="1" applyBorder="1"/>
    <xf numFmtId="0" fontId="51" fillId="67" borderId="65" xfId="1" applyFont="1" applyFill="1" applyBorder="1" applyAlignment="1">
      <alignment horizontal="left" vertical="center"/>
    </xf>
    <xf numFmtId="0" fontId="51" fillId="67" borderId="56" xfId="1" applyFont="1" applyFill="1" applyBorder="1" applyAlignment="1">
      <alignment horizontal="left" vertical="center"/>
    </xf>
    <xf numFmtId="20" fontId="48" fillId="59" borderId="197" xfId="0" applyNumberFormat="1" applyFont="1" applyFill="1" applyBorder="1" applyAlignment="1">
      <alignment horizontal="center" vertical="center"/>
    </xf>
    <xf numFmtId="20" fontId="48" fillId="59" borderId="198" xfId="0" applyNumberFormat="1" applyFont="1" applyFill="1" applyBorder="1" applyAlignment="1">
      <alignment horizontal="center" vertical="center"/>
    </xf>
    <xf numFmtId="20" fontId="48" fillId="59" borderId="199" xfId="0" applyNumberFormat="1" applyFont="1" applyFill="1" applyBorder="1" applyAlignment="1">
      <alignment horizontal="center" vertical="center"/>
    </xf>
    <xf numFmtId="20" fontId="51" fillId="14" borderId="195" xfId="0" applyNumberFormat="1" applyFont="1" applyFill="1" applyBorder="1" applyAlignment="1">
      <alignment horizontal="center" vertical="center"/>
    </xf>
    <xf numFmtId="20" fontId="51" fillId="3" borderId="61" xfId="0" applyNumberFormat="1" applyFont="1" applyFill="1" applyBorder="1" applyAlignment="1">
      <alignment horizontal="center" vertical="center"/>
    </xf>
    <xf numFmtId="20" fontId="51" fillId="5" borderId="61" xfId="0" applyNumberFormat="1" applyFont="1" applyFill="1" applyBorder="1" applyAlignment="1">
      <alignment horizontal="center" vertical="center"/>
    </xf>
    <xf numFmtId="20" fontId="51" fillId="14" borderId="61" xfId="0" applyNumberFormat="1" applyFont="1" applyFill="1" applyBorder="1" applyAlignment="1">
      <alignment horizontal="center" vertical="center"/>
    </xf>
    <xf numFmtId="20" fontId="51" fillId="3" borderId="132" xfId="0" applyNumberFormat="1" applyFont="1" applyFill="1" applyBorder="1" applyAlignment="1">
      <alignment horizontal="center" vertical="center"/>
    </xf>
    <xf numFmtId="20" fontId="51" fillId="5" borderId="132" xfId="0" applyNumberFormat="1" applyFont="1" applyFill="1" applyBorder="1" applyAlignment="1">
      <alignment horizontal="center" vertical="center"/>
    </xf>
    <xf numFmtId="20" fontId="48" fillId="67" borderId="113" xfId="0" applyNumberFormat="1" applyFont="1" applyFill="1" applyBorder="1" applyAlignment="1">
      <alignment horizontal="center" vertical="center"/>
    </xf>
    <xf numFmtId="20" fontId="14" fillId="3" borderId="132" xfId="0" applyNumberFormat="1" applyFont="1" applyFill="1" applyBorder="1" applyAlignment="1">
      <alignment horizontal="center" vertical="center"/>
    </xf>
    <xf numFmtId="20" fontId="55" fillId="5" borderId="9" xfId="0" applyNumberFormat="1" applyFont="1" applyFill="1" applyBorder="1" applyAlignment="1">
      <alignment horizontal="center" vertical="center"/>
    </xf>
    <xf numFmtId="20" fontId="2" fillId="24" borderId="10" xfId="0" applyNumberFormat="1" applyFont="1" applyFill="1" applyBorder="1" applyAlignment="1">
      <alignment horizontal="center" vertical="center"/>
    </xf>
    <xf numFmtId="20" fontId="2" fillId="24" borderId="11" xfId="0" applyNumberFormat="1" applyFont="1" applyFill="1" applyBorder="1" applyAlignment="1">
      <alignment horizontal="center" vertical="center"/>
    </xf>
    <xf numFmtId="20" fontId="2" fillId="61" borderId="12" xfId="0" applyNumberFormat="1" applyFont="1" applyFill="1" applyBorder="1" applyAlignment="1">
      <alignment horizontal="center" vertical="center"/>
    </xf>
    <xf numFmtId="20" fontId="14" fillId="5" borderId="113" xfId="0" applyNumberFormat="1" applyFont="1" applyFill="1" applyBorder="1" applyAlignment="1">
      <alignment horizontal="center"/>
    </xf>
    <xf numFmtId="20" fontId="57" fillId="5" borderId="113" xfId="0" applyNumberFormat="1" applyFont="1" applyFill="1" applyBorder="1" applyAlignment="1">
      <alignment horizontal="center"/>
    </xf>
    <xf numFmtId="20" fontId="14" fillId="4" borderId="113" xfId="0" applyNumberFormat="1" applyFont="1" applyFill="1" applyBorder="1" applyAlignment="1">
      <alignment horizontal="center"/>
    </xf>
    <xf numFmtId="20" fontId="14" fillId="4" borderId="113" xfId="0" applyNumberFormat="1" applyFont="1" applyFill="1" applyBorder="1" applyAlignment="1">
      <alignment horizontal="center" vertical="center"/>
    </xf>
    <xf numFmtId="20" fontId="44" fillId="4" borderId="113" xfId="0" applyNumberFormat="1" applyFont="1" applyFill="1" applyBorder="1" applyAlignment="1">
      <alignment horizontal="center"/>
    </xf>
    <xf numFmtId="20" fontId="44" fillId="3" borderId="185" xfId="0" applyNumberFormat="1" applyFont="1" applyFill="1" applyBorder="1" applyAlignment="1">
      <alignment horizontal="center"/>
    </xf>
    <xf numFmtId="20" fontId="44" fillId="3" borderId="115" xfId="0" applyNumberFormat="1" applyFont="1" applyFill="1" applyBorder="1" applyAlignment="1">
      <alignment horizontal="center" vertical="center"/>
    </xf>
    <xf numFmtId="20" fontId="44" fillId="54" borderId="202" xfId="0" applyNumberFormat="1" applyFont="1" applyFill="1" applyBorder="1" applyAlignment="1">
      <alignment horizontal="center"/>
    </xf>
    <xf numFmtId="20" fontId="44" fillId="54" borderId="203" xfId="0" applyNumberFormat="1" applyFont="1" applyFill="1" applyBorder="1" applyAlignment="1">
      <alignment horizontal="center"/>
    </xf>
    <xf numFmtId="20" fontId="44" fillId="54" borderId="181" xfId="0" applyNumberFormat="1" applyFont="1" applyFill="1" applyBorder="1" applyAlignment="1">
      <alignment horizontal="center"/>
    </xf>
    <xf numFmtId="20" fontId="44" fillId="25" borderId="140" xfId="0" applyNumberFormat="1" applyFont="1" applyFill="1" applyBorder="1" applyAlignment="1">
      <alignment horizontal="center"/>
    </xf>
    <xf numFmtId="20" fontId="44" fillId="3" borderId="118" xfId="0" applyNumberFormat="1" applyFont="1" applyFill="1" applyBorder="1" applyAlignment="1">
      <alignment horizontal="center"/>
    </xf>
    <xf numFmtId="20" fontId="45" fillId="5" borderId="178" xfId="0" applyNumberFormat="1" applyFont="1" applyFill="1" applyBorder="1" applyAlignment="1">
      <alignment horizontal="center"/>
    </xf>
    <xf numFmtId="20" fontId="45" fillId="5" borderId="118" xfId="0" applyNumberFormat="1" applyFont="1" applyFill="1" applyBorder="1" applyAlignment="1">
      <alignment horizontal="center"/>
    </xf>
    <xf numFmtId="20" fontId="44" fillId="3" borderId="178" xfId="0" applyNumberFormat="1" applyFont="1" applyFill="1" applyBorder="1" applyAlignment="1">
      <alignment horizontal="center"/>
    </xf>
    <xf numFmtId="20" fontId="14" fillId="5" borderId="178" xfId="0" applyNumberFormat="1" applyFont="1" applyFill="1" applyBorder="1" applyAlignment="1">
      <alignment horizontal="center" vertical="center"/>
    </xf>
    <xf numFmtId="20" fontId="14" fillId="5" borderId="178" xfId="0" applyNumberFormat="1" applyFont="1" applyFill="1" applyBorder="1" applyAlignment="1">
      <alignment horizontal="center"/>
    </xf>
    <xf numFmtId="20" fontId="14" fillId="3" borderId="178" xfId="0" applyNumberFormat="1" applyFont="1" applyFill="1" applyBorder="1" applyAlignment="1">
      <alignment horizontal="center" vertical="center"/>
    </xf>
    <xf numFmtId="20" fontId="14" fillId="3" borderId="143" xfId="0" applyNumberFormat="1" applyFont="1" applyFill="1" applyBorder="1" applyAlignment="1">
      <alignment horizontal="center" vertical="center"/>
    </xf>
    <xf numFmtId="20" fontId="44" fillId="3" borderId="143" xfId="0" applyNumberFormat="1" applyFont="1" applyFill="1" applyBorder="1" applyAlignment="1">
      <alignment horizontal="center"/>
    </xf>
    <xf numFmtId="20" fontId="45" fillId="5" borderId="143" xfId="0" applyNumberFormat="1" applyFont="1" applyFill="1" applyBorder="1" applyAlignment="1">
      <alignment horizontal="center" vertical="center"/>
    </xf>
    <xf numFmtId="20" fontId="44" fillId="3" borderId="204" xfId="0" applyNumberFormat="1" applyFont="1" applyFill="1" applyBorder="1" applyAlignment="1">
      <alignment horizontal="center"/>
    </xf>
    <xf numFmtId="20" fontId="44" fillId="25" borderId="182" xfId="0" applyNumberFormat="1" applyFont="1" applyFill="1" applyBorder="1" applyAlignment="1">
      <alignment horizontal="center"/>
    </xf>
    <xf numFmtId="20" fontId="14" fillId="70" borderId="113" xfId="0" applyNumberFormat="1" applyFont="1" applyFill="1" applyBorder="1" applyAlignment="1">
      <alignment horizontal="center"/>
    </xf>
    <xf numFmtId="0" fontId="32" fillId="29" borderId="167" xfId="0" applyFont="1" applyFill="1" applyBorder="1" applyAlignment="1">
      <alignment horizontal="center" vertical="center"/>
    </xf>
    <xf numFmtId="20" fontId="14" fillId="5" borderId="117" xfId="0" applyNumberFormat="1" applyFont="1" applyFill="1" applyBorder="1" applyAlignment="1">
      <alignment horizontal="center" vertical="center"/>
    </xf>
    <xf numFmtId="20" fontId="14" fillId="5" borderId="117" xfId="0" applyNumberFormat="1" applyFont="1" applyFill="1" applyBorder="1" applyAlignment="1">
      <alignment horizontal="center"/>
    </xf>
    <xf numFmtId="20" fontId="14" fillId="3" borderId="117" xfId="0" applyNumberFormat="1" applyFont="1" applyFill="1" applyBorder="1" applyAlignment="1">
      <alignment horizontal="center"/>
    </xf>
    <xf numFmtId="20" fontId="57" fillId="5" borderId="117" xfId="0" applyNumberFormat="1" applyFont="1" applyFill="1" applyBorder="1" applyAlignment="1">
      <alignment horizontal="center"/>
    </xf>
    <xf numFmtId="20" fontId="14" fillId="3" borderId="117" xfId="0" applyNumberFormat="1" applyFont="1" applyFill="1" applyBorder="1" applyAlignment="1">
      <alignment horizontal="center" vertical="center"/>
    </xf>
    <xf numFmtId="20" fontId="14" fillId="17" borderId="185" xfId="0" applyNumberFormat="1" applyFont="1" applyFill="1" applyBorder="1" applyAlignment="1">
      <alignment horizontal="center"/>
    </xf>
    <xf numFmtId="20" fontId="14" fillId="17" borderId="115" xfId="0" applyNumberFormat="1" applyFont="1" applyFill="1" applyBorder="1" applyAlignment="1">
      <alignment horizontal="center"/>
    </xf>
    <xf numFmtId="20" fontId="44" fillId="5" borderId="115" xfId="0" applyNumberFormat="1" applyFont="1" applyFill="1" applyBorder="1" applyAlignment="1">
      <alignment horizontal="center"/>
    </xf>
    <xf numFmtId="20" fontId="14" fillId="4" borderId="115" xfId="0" applyNumberFormat="1" applyFont="1" applyFill="1" applyBorder="1" applyAlignment="1">
      <alignment horizontal="center"/>
    </xf>
    <xf numFmtId="20" fontId="14" fillId="4" borderId="186" xfId="0" applyNumberFormat="1" applyFont="1" applyFill="1" applyBorder="1" applyAlignment="1">
      <alignment horizontal="center"/>
    </xf>
    <xf numFmtId="20" fontId="14" fillId="61" borderId="118" xfId="0" applyNumberFormat="1" applyFont="1" applyFill="1" applyBorder="1" applyAlignment="1">
      <alignment horizontal="center" vertical="center"/>
    </xf>
    <xf numFmtId="20" fontId="14" fillId="4" borderId="178" xfId="0" applyNumberFormat="1" applyFont="1" applyFill="1" applyBorder="1" applyAlignment="1">
      <alignment horizontal="center" vertical="center"/>
    </xf>
    <xf numFmtId="20" fontId="44" fillId="4" borderId="118" xfId="0" applyNumberFormat="1" applyFont="1" applyFill="1" applyBorder="1" applyAlignment="1">
      <alignment horizontal="center"/>
    </xf>
    <xf numFmtId="20" fontId="44" fillId="5" borderId="118" xfId="0" applyNumberFormat="1" applyFont="1" applyFill="1" applyBorder="1" applyAlignment="1">
      <alignment horizontal="center"/>
    </xf>
    <xf numFmtId="20" fontId="14" fillId="4" borderId="118" xfId="0" applyNumberFormat="1" applyFont="1" applyFill="1" applyBorder="1" applyAlignment="1">
      <alignment horizontal="center" vertical="center"/>
    </xf>
    <xf numFmtId="20" fontId="44" fillId="3" borderId="205" xfId="0" applyNumberFormat="1" applyFont="1" applyFill="1" applyBorder="1" applyAlignment="1">
      <alignment horizontal="center"/>
    </xf>
    <xf numFmtId="20" fontId="44" fillId="3" borderId="202" xfId="0" applyNumberFormat="1" applyFont="1" applyFill="1" applyBorder="1" applyAlignment="1">
      <alignment horizontal="center"/>
    </xf>
    <xf numFmtId="20" fontId="44" fillId="5" borderId="202" xfId="0" applyNumberFormat="1" applyFont="1" applyFill="1" applyBorder="1" applyAlignment="1">
      <alignment horizontal="center" vertical="center"/>
    </xf>
    <xf numFmtId="20" fontId="44" fillId="5" borderId="202" xfId="0" applyNumberFormat="1" applyFont="1" applyFill="1" applyBorder="1" applyAlignment="1">
      <alignment horizontal="center"/>
    </xf>
    <xf numFmtId="20" fontId="44" fillId="5" borderId="203" xfId="0" applyNumberFormat="1" applyFont="1" applyFill="1" applyBorder="1" applyAlignment="1">
      <alignment horizontal="center"/>
    </xf>
    <xf numFmtId="20" fontId="44" fillId="15" borderId="182" xfId="0" applyNumberFormat="1" applyFont="1" applyFill="1" applyBorder="1" applyAlignment="1">
      <alignment horizontal="center" vertical="center"/>
    </xf>
    <xf numFmtId="20" fontId="44" fillId="15" borderId="139" xfId="0" applyNumberFormat="1" applyFont="1" applyFill="1" applyBorder="1" applyAlignment="1">
      <alignment horizontal="center" vertical="center"/>
    </xf>
    <xf numFmtId="20" fontId="46" fillId="3" borderId="139" xfId="0" applyNumberFormat="1" applyFont="1" applyFill="1" applyBorder="1" applyAlignment="1">
      <alignment horizontal="center" vertical="center"/>
    </xf>
    <xf numFmtId="20" fontId="46" fillId="3" borderId="206" xfId="0" applyNumberFormat="1" applyFont="1" applyFill="1" applyBorder="1" applyAlignment="1">
      <alignment horizontal="center" vertical="center"/>
    </xf>
    <xf numFmtId="20" fontId="44" fillId="5" borderId="50" xfId="0" applyNumberFormat="1" applyFont="1" applyFill="1" applyBorder="1" applyAlignment="1">
      <alignment horizontal="center" vertical="center"/>
    </xf>
    <xf numFmtId="20" fontId="14" fillId="5" borderId="96" xfId="0" applyNumberFormat="1" applyFont="1" applyFill="1" applyBorder="1" applyAlignment="1">
      <alignment horizontal="center" vertical="center"/>
    </xf>
    <xf numFmtId="20" fontId="14" fillId="5" borderId="103" xfId="0" applyNumberFormat="1" applyFont="1" applyFill="1" applyBorder="1" applyAlignment="1">
      <alignment horizontal="center" vertical="center"/>
    </xf>
    <xf numFmtId="20" fontId="14" fillId="3" borderId="31" xfId="0" applyNumberFormat="1" applyFont="1" applyFill="1" applyBorder="1" applyAlignment="1">
      <alignment horizontal="center"/>
    </xf>
    <xf numFmtId="20" fontId="44" fillId="25" borderId="31" xfId="0" applyNumberFormat="1" applyFont="1" applyFill="1" applyBorder="1" applyAlignment="1">
      <alignment horizontal="center"/>
    </xf>
    <xf numFmtId="20" fontId="44" fillId="3" borderId="158" xfId="0" applyNumberFormat="1" applyFont="1" applyFill="1" applyBorder="1" applyAlignment="1">
      <alignment horizontal="center"/>
    </xf>
    <xf numFmtId="20" fontId="45" fillId="5" borderId="158" xfId="0" applyNumberFormat="1" applyFont="1" applyFill="1" applyBorder="1" applyAlignment="1">
      <alignment horizontal="center" vertical="center"/>
    </xf>
    <xf numFmtId="20" fontId="14" fillId="5" borderId="158" xfId="0" applyNumberFormat="1" applyFont="1" applyFill="1" applyBorder="1" applyAlignment="1">
      <alignment horizontal="center"/>
    </xf>
    <xf numFmtId="20" fontId="44" fillId="25" borderId="209" xfId="0" applyNumberFormat="1" applyFont="1" applyFill="1" applyBorder="1" applyAlignment="1">
      <alignment horizontal="center"/>
    </xf>
    <xf numFmtId="20" fontId="14" fillId="3" borderId="208" xfId="0" applyNumberFormat="1" applyFont="1" applyFill="1" applyBorder="1" applyAlignment="1">
      <alignment horizontal="center"/>
    </xf>
    <xf numFmtId="20" fontId="44" fillId="25" borderId="30" xfId="0" applyNumberFormat="1" applyFont="1" applyFill="1" applyBorder="1" applyAlignment="1">
      <alignment horizontal="center"/>
    </xf>
    <xf numFmtId="20" fontId="45" fillId="5" borderId="30" xfId="0" applyNumberFormat="1" applyFont="1" applyFill="1" applyBorder="1" applyAlignment="1">
      <alignment horizontal="center" vertical="center"/>
    </xf>
    <xf numFmtId="20" fontId="14" fillId="3" borderId="210" xfId="0" applyNumberFormat="1" applyFont="1" applyFill="1" applyBorder="1" applyAlignment="1">
      <alignment horizontal="center" vertical="center"/>
    </xf>
    <xf numFmtId="0" fontId="3" fillId="32" borderId="91" xfId="0" applyFont="1" applyFill="1" applyBorder="1" applyAlignment="1">
      <alignment horizontal="center" vertical="center"/>
    </xf>
    <xf numFmtId="20" fontId="51" fillId="14" borderId="196" xfId="0" applyNumberFormat="1" applyFont="1" applyFill="1" applyBorder="1" applyAlignment="1">
      <alignment horizontal="center" vertical="center"/>
    </xf>
    <xf numFmtId="20" fontId="48" fillId="3" borderId="61" xfId="0" applyNumberFormat="1" applyFont="1" applyFill="1" applyBorder="1" applyAlignment="1">
      <alignment horizontal="center" vertical="center"/>
    </xf>
    <xf numFmtId="0" fontId="51" fillId="67" borderId="66" xfId="1" applyFont="1" applyFill="1" applyBorder="1" applyAlignment="1">
      <alignment horizontal="left" vertical="center"/>
    </xf>
    <xf numFmtId="20" fontId="48" fillId="5" borderId="61" xfId="0" applyNumberFormat="1" applyFont="1" applyFill="1" applyBorder="1" applyAlignment="1">
      <alignment horizontal="center" vertical="center"/>
    </xf>
    <xf numFmtId="20" fontId="48" fillId="5" borderId="101" xfId="0" applyNumberFormat="1" applyFont="1" applyFill="1" applyBorder="1" applyAlignment="1">
      <alignment horizontal="center" vertical="center"/>
    </xf>
    <xf numFmtId="20" fontId="48" fillId="3" borderId="101" xfId="0" applyNumberFormat="1" applyFont="1" applyFill="1" applyBorder="1" applyAlignment="1">
      <alignment horizontal="center"/>
    </xf>
    <xf numFmtId="20" fontId="51" fillId="3" borderId="101" xfId="0" applyNumberFormat="1" applyFont="1" applyFill="1" applyBorder="1" applyAlignment="1">
      <alignment horizontal="center" vertical="center"/>
    </xf>
    <xf numFmtId="20" fontId="51" fillId="5" borderId="101" xfId="0" applyNumberFormat="1" applyFont="1" applyFill="1" applyBorder="1" applyAlignment="1">
      <alignment horizontal="center" vertical="center"/>
    </xf>
    <xf numFmtId="20" fontId="48" fillId="3" borderId="101" xfId="0" applyNumberFormat="1" applyFont="1" applyFill="1" applyBorder="1" applyAlignment="1">
      <alignment horizontal="center" vertical="center"/>
    </xf>
    <xf numFmtId="20" fontId="51" fillId="3" borderId="104" xfId="0" applyNumberFormat="1" applyFont="1" applyFill="1" applyBorder="1" applyAlignment="1">
      <alignment horizontal="center" vertical="center"/>
    </xf>
    <xf numFmtId="20" fontId="51" fillId="14" borderId="211" xfId="0" applyNumberFormat="1" applyFont="1" applyFill="1" applyBorder="1" applyAlignment="1">
      <alignment horizontal="center" vertical="center"/>
    </xf>
    <xf numFmtId="20" fontId="48" fillId="3" borderId="60" xfId="0" applyNumberFormat="1" applyFont="1" applyFill="1" applyBorder="1" applyAlignment="1">
      <alignment horizontal="center" vertical="center"/>
    </xf>
    <xf numFmtId="20" fontId="51" fillId="3" borderId="60" xfId="0" applyNumberFormat="1" applyFont="1" applyFill="1" applyBorder="1" applyAlignment="1">
      <alignment horizontal="center" vertical="center"/>
    </xf>
    <xf numFmtId="20" fontId="51" fillId="14" borderId="60" xfId="0" applyNumberFormat="1" applyFont="1" applyFill="1" applyBorder="1" applyAlignment="1">
      <alignment horizontal="center" vertical="center"/>
    </xf>
    <xf numFmtId="20" fontId="51" fillId="5" borderId="60" xfId="0" applyNumberFormat="1" applyFont="1" applyFill="1" applyBorder="1" applyAlignment="1">
      <alignment horizontal="center" vertical="center"/>
    </xf>
    <xf numFmtId="20" fontId="51" fillId="3" borderId="200" xfId="0" applyNumberFormat="1" applyFont="1" applyFill="1" applyBorder="1" applyAlignment="1">
      <alignment horizontal="center" vertical="center"/>
    </xf>
    <xf numFmtId="20" fontId="48" fillId="3" borderId="132" xfId="0" applyNumberFormat="1" applyFont="1" applyFill="1" applyBorder="1" applyAlignment="1">
      <alignment horizontal="center"/>
    </xf>
    <xf numFmtId="20" fontId="51" fillId="3" borderId="201" xfId="0" applyNumberFormat="1" applyFont="1" applyFill="1" applyBorder="1" applyAlignment="1">
      <alignment horizontal="center" vertical="center"/>
    </xf>
    <xf numFmtId="0" fontId="50" fillId="14" borderId="212" xfId="0" applyFont="1" applyFill="1" applyBorder="1" applyAlignment="1">
      <alignment horizontal="center" vertical="center" wrapText="1"/>
    </xf>
    <xf numFmtId="0" fontId="50" fillId="14" borderId="114" xfId="0" applyFont="1" applyFill="1" applyBorder="1" applyAlignment="1">
      <alignment horizontal="center" vertical="center" wrapText="1"/>
    </xf>
    <xf numFmtId="0" fontId="48" fillId="14" borderId="13" xfId="0" applyFont="1" applyFill="1" applyBorder="1" applyAlignment="1">
      <alignment horizontal="left" vertical="center"/>
    </xf>
    <xf numFmtId="0" fontId="48" fillId="14" borderId="14" xfId="0" applyFont="1" applyFill="1" applyBorder="1" applyAlignment="1">
      <alignment horizontal="left" vertical="center"/>
    </xf>
    <xf numFmtId="0" fontId="51" fillId="14" borderId="14" xfId="0" applyFont="1" applyFill="1" applyBorder="1" applyAlignment="1">
      <alignment horizontal="left" vertical="center"/>
    </xf>
    <xf numFmtId="0" fontId="48" fillId="14" borderId="213" xfId="0" applyFont="1" applyFill="1" applyBorder="1" applyAlignment="1">
      <alignment horizontal="left" vertical="center"/>
    </xf>
    <xf numFmtId="0" fontId="48" fillId="14" borderId="87" xfId="0" applyFont="1" applyFill="1" applyBorder="1" applyAlignment="1">
      <alignment horizontal="left" vertical="center"/>
    </xf>
    <xf numFmtId="0" fontId="48" fillId="14" borderId="91" xfId="0" applyFont="1" applyFill="1" applyBorder="1" applyAlignment="1">
      <alignment horizontal="left" vertical="center"/>
    </xf>
    <xf numFmtId="0" fontId="51" fillId="67" borderId="36" xfId="1" applyFont="1" applyFill="1" applyBorder="1" applyAlignment="1">
      <alignment horizontal="left" vertical="center"/>
    </xf>
    <xf numFmtId="0" fontId="51" fillId="67" borderId="52" xfId="1" applyFont="1" applyFill="1" applyBorder="1" applyAlignment="1">
      <alignment horizontal="left" vertical="center"/>
    </xf>
    <xf numFmtId="20" fontId="48" fillId="8" borderId="117" xfId="0" applyNumberFormat="1" applyFont="1" applyFill="1" applyBorder="1" applyAlignment="1">
      <alignment horizontal="center" vertical="center"/>
    </xf>
    <xf numFmtId="20" fontId="48" fillId="59" borderId="214" xfId="0" applyNumberFormat="1" applyFont="1" applyFill="1" applyBorder="1" applyAlignment="1">
      <alignment horizontal="center" vertical="center"/>
    </xf>
    <xf numFmtId="0" fontId="50" fillId="67" borderId="13" xfId="0" applyFont="1" applyFill="1" applyBorder="1" applyAlignment="1">
      <alignment horizontal="center"/>
    </xf>
    <xf numFmtId="0" fontId="50" fillId="67" borderId="63" xfId="0" applyFont="1" applyFill="1" applyBorder="1" applyAlignment="1">
      <alignment horizontal="center"/>
    </xf>
    <xf numFmtId="0" fontId="50" fillId="67" borderId="14" xfId="0" applyFont="1" applyFill="1" applyBorder="1" applyAlignment="1">
      <alignment horizontal="center"/>
    </xf>
    <xf numFmtId="0" fontId="50" fillId="67" borderId="18" xfId="0" applyFont="1" applyFill="1" applyBorder="1" applyAlignment="1">
      <alignment horizontal="center"/>
    </xf>
    <xf numFmtId="20" fontId="48" fillId="3" borderId="129" xfId="0" applyNumberFormat="1" applyFont="1" applyFill="1" applyBorder="1" applyAlignment="1">
      <alignment horizontal="center" vertical="center"/>
    </xf>
    <xf numFmtId="0" fontId="0" fillId="66" borderId="0" xfId="0" applyFill="1"/>
    <xf numFmtId="16" fontId="0" fillId="66" borderId="0" xfId="0" applyNumberFormat="1" applyFill="1"/>
    <xf numFmtId="20" fontId="48" fillId="59" borderId="113" xfId="0" applyNumberFormat="1" applyFont="1" applyFill="1" applyBorder="1" applyAlignment="1">
      <alignment horizontal="center" vertical="center"/>
    </xf>
    <xf numFmtId="20" fontId="14" fillId="3" borderId="132" xfId="0" applyNumberFormat="1" applyFont="1" applyFill="1" applyBorder="1" applyAlignment="1">
      <alignment horizontal="center"/>
    </xf>
    <xf numFmtId="20" fontId="44" fillId="3" borderId="191" xfId="0" applyNumberFormat="1" applyFont="1" applyFill="1" applyBorder="1" applyAlignment="1">
      <alignment horizontal="center"/>
    </xf>
    <xf numFmtId="20" fontId="44" fillId="5" borderId="192" xfId="0" applyNumberFormat="1" applyFont="1" applyFill="1" applyBorder="1" applyAlignment="1">
      <alignment horizontal="center"/>
    </xf>
    <xf numFmtId="20" fontId="44" fillId="5" borderId="113" xfId="0" applyNumberFormat="1" applyFont="1" applyFill="1" applyBorder="1" applyAlignment="1">
      <alignment horizontal="center" vertical="center"/>
    </xf>
    <xf numFmtId="20" fontId="14" fillId="3" borderId="185" xfId="0" applyNumberFormat="1" applyFont="1" applyFill="1" applyBorder="1" applyAlignment="1">
      <alignment horizontal="center"/>
    </xf>
    <xf numFmtId="20" fontId="14" fillId="3" borderId="115" xfId="0" applyNumberFormat="1" applyFont="1" applyFill="1" applyBorder="1" applyAlignment="1">
      <alignment horizontal="center"/>
    </xf>
    <xf numFmtId="20" fontId="14" fillId="3" borderId="186" xfId="0" applyNumberFormat="1" applyFont="1" applyFill="1" applyBorder="1" applyAlignment="1">
      <alignment horizontal="center"/>
    </xf>
    <xf numFmtId="20" fontId="14" fillId="3" borderId="118" xfId="0" applyNumberFormat="1" applyFont="1" applyFill="1" applyBorder="1" applyAlignment="1">
      <alignment horizontal="center" vertical="center"/>
    </xf>
    <xf numFmtId="20" fontId="14" fillId="3" borderId="158" xfId="0" applyNumberFormat="1" applyFont="1" applyFill="1" applyBorder="1" applyAlignment="1">
      <alignment horizontal="center"/>
    </xf>
    <xf numFmtId="20" fontId="14" fillId="3" borderId="30" xfId="0" applyNumberFormat="1" applyFont="1" applyFill="1" applyBorder="1" applyAlignment="1">
      <alignment horizontal="center"/>
    </xf>
    <xf numFmtId="20" fontId="14" fillId="3" borderId="158" xfId="0" applyNumberFormat="1" applyFont="1" applyFill="1" applyBorder="1" applyAlignment="1">
      <alignment horizontal="center" vertical="center"/>
    </xf>
    <xf numFmtId="20" fontId="14" fillId="3" borderId="115" xfId="0" applyNumberFormat="1" applyFont="1" applyFill="1" applyBorder="1" applyAlignment="1">
      <alignment horizontal="center" vertical="center"/>
    </xf>
    <xf numFmtId="20" fontId="14" fillId="3" borderId="30" xfId="0" applyNumberFormat="1" applyFont="1" applyFill="1" applyBorder="1" applyAlignment="1">
      <alignment horizontal="center" vertical="center"/>
    </xf>
    <xf numFmtId="20" fontId="14" fillId="3" borderId="143" xfId="0" applyNumberFormat="1" applyFont="1" applyFill="1" applyBorder="1" applyAlignment="1">
      <alignment horizontal="center"/>
    </xf>
    <xf numFmtId="20" fontId="14" fillId="3" borderId="118" xfId="0" applyNumberFormat="1" applyFont="1" applyFill="1" applyBorder="1" applyAlignment="1">
      <alignment horizontal="center"/>
    </xf>
    <xf numFmtId="20" fontId="14" fillId="3" borderId="204" xfId="0" applyNumberFormat="1" applyFont="1" applyFill="1" applyBorder="1" applyAlignment="1">
      <alignment horizontal="center"/>
    </xf>
    <xf numFmtId="20" fontId="14" fillId="3" borderId="182" xfId="0" applyNumberFormat="1" applyFont="1" applyFill="1" applyBorder="1" applyAlignment="1">
      <alignment horizontal="center"/>
    </xf>
    <xf numFmtId="20" fontId="14" fillId="3" borderId="209" xfId="0" applyNumberFormat="1" applyFont="1" applyFill="1" applyBorder="1" applyAlignment="1">
      <alignment horizontal="center"/>
    </xf>
    <xf numFmtId="20" fontId="51" fillId="67" borderId="113" xfId="0" applyNumberFormat="1" applyFont="1" applyFill="1" applyBorder="1" applyAlignment="1">
      <alignment horizontal="center" vertical="center"/>
    </xf>
    <xf numFmtId="20" fontId="48" fillId="28" borderId="118" xfId="0" applyNumberFormat="1" applyFont="1" applyFill="1" applyBorder="1" applyAlignment="1">
      <alignment horizontal="center" vertical="center"/>
    </xf>
    <xf numFmtId="20" fontId="48" fillId="28" borderId="113" xfId="0" applyNumberFormat="1" applyFont="1" applyFill="1" applyBorder="1" applyAlignment="1">
      <alignment horizontal="center" vertical="center"/>
    </xf>
    <xf numFmtId="20" fontId="51" fillId="61" borderId="113" xfId="0" applyNumberFormat="1" applyFont="1" applyFill="1" applyBorder="1" applyAlignment="1">
      <alignment horizontal="center" vertical="center"/>
    </xf>
    <xf numFmtId="20" fontId="2" fillId="52" borderId="179" xfId="0" applyNumberFormat="1" applyFont="1" applyFill="1" applyBorder="1" applyAlignment="1">
      <alignment horizontal="center" vertical="center"/>
    </xf>
    <xf numFmtId="20" fontId="44" fillId="32" borderId="113" xfId="0" applyNumberFormat="1" applyFont="1" applyFill="1" applyBorder="1" applyAlignment="1">
      <alignment horizontal="center"/>
    </xf>
    <xf numFmtId="0" fontId="48" fillId="14" borderId="215" xfId="0" applyFont="1" applyFill="1" applyBorder="1" applyAlignment="1">
      <alignment horizontal="left" vertical="center"/>
    </xf>
    <xf numFmtId="20" fontId="48" fillId="61" borderId="118" xfId="0" applyNumberFormat="1" applyFont="1" applyFill="1" applyBorder="1" applyAlignment="1">
      <alignment horizontal="center" vertical="center"/>
    </xf>
    <xf numFmtId="20" fontId="51" fillId="14" borderId="115" xfId="0" applyNumberFormat="1" applyFont="1" applyFill="1" applyBorder="1" applyAlignment="1">
      <alignment horizontal="center" vertical="center"/>
    </xf>
    <xf numFmtId="20" fontId="51" fillId="5" borderId="115" xfId="0" applyNumberFormat="1" applyFont="1" applyFill="1" applyBorder="1" applyAlignment="1">
      <alignment horizontal="center" vertical="center"/>
    </xf>
    <xf numFmtId="20" fontId="51" fillId="14" borderId="186" xfId="0" applyNumberFormat="1" applyFont="1" applyFill="1" applyBorder="1" applyAlignment="1">
      <alignment horizontal="center" vertical="center"/>
    </xf>
    <xf numFmtId="20" fontId="51" fillId="3" borderId="178" xfId="0" applyNumberFormat="1" applyFont="1" applyFill="1" applyBorder="1" applyAlignment="1">
      <alignment horizontal="center" vertical="center"/>
    </xf>
    <xf numFmtId="20" fontId="51" fillId="28" borderId="178" xfId="0" applyNumberFormat="1" applyFont="1" applyFill="1" applyBorder="1" applyAlignment="1">
      <alignment horizontal="center" vertical="center"/>
    </xf>
    <xf numFmtId="20" fontId="51" fillId="14" borderId="178" xfId="0" applyNumberFormat="1" applyFont="1" applyFill="1" applyBorder="1" applyAlignment="1">
      <alignment horizontal="center" vertical="center"/>
    </xf>
    <xf numFmtId="0" fontId="48" fillId="14" borderId="118" xfId="0" applyFont="1" applyFill="1" applyBorder="1" applyAlignment="1">
      <alignment horizontal="left" vertical="center"/>
    </xf>
    <xf numFmtId="0" fontId="51" fillId="14" borderId="82" xfId="1" applyFont="1" applyFill="1" applyBorder="1" applyAlignment="1">
      <alignment horizontal="left" vertical="center"/>
    </xf>
    <xf numFmtId="0" fontId="51" fillId="14" borderId="216" xfId="1" applyFont="1" applyFill="1" applyBorder="1" applyAlignment="1">
      <alignment horizontal="left"/>
    </xf>
    <xf numFmtId="0" fontId="50" fillId="14" borderId="217" xfId="0" applyFont="1" applyFill="1" applyBorder="1" applyAlignment="1">
      <alignment horizontal="center"/>
    </xf>
    <xf numFmtId="20" fontId="48" fillId="3" borderId="184" xfId="0" applyNumberFormat="1" applyFont="1" applyFill="1" applyBorder="1" applyAlignment="1">
      <alignment horizontal="center" vertical="center"/>
    </xf>
    <xf numFmtId="20" fontId="48" fillId="3" borderId="179" xfId="0" applyNumberFormat="1" applyFont="1" applyFill="1" applyBorder="1" applyAlignment="1">
      <alignment horizontal="center" vertical="center"/>
    </xf>
    <xf numFmtId="20" fontId="51" fillId="3" borderId="179" xfId="0" applyNumberFormat="1" applyFont="1" applyFill="1" applyBorder="1" applyAlignment="1">
      <alignment horizontal="center" vertical="center"/>
    </xf>
    <xf numFmtId="20" fontId="48" fillId="5" borderId="179" xfId="0" applyNumberFormat="1" applyFont="1" applyFill="1" applyBorder="1" applyAlignment="1">
      <alignment horizontal="center" vertical="center"/>
    </xf>
    <xf numFmtId="20" fontId="51" fillId="5" borderId="179" xfId="0" applyNumberFormat="1" applyFont="1" applyFill="1" applyBorder="1" applyAlignment="1">
      <alignment horizontal="center" vertical="center"/>
    </xf>
    <xf numFmtId="20" fontId="51" fillId="5" borderId="180" xfId="0" applyNumberFormat="1" applyFont="1" applyFill="1" applyBorder="1" applyAlignment="1">
      <alignment horizontal="center" vertical="center"/>
    </xf>
    <xf numFmtId="20" fontId="48" fillId="3" borderId="143" xfId="0" applyNumberFormat="1" applyFont="1" applyFill="1" applyBorder="1" applyAlignment="1">
      <alignment horizontal="center" vertical="center"/>
    </xf>
    <xf numFmtId="0" fontId="51" fillId="67" borderId="218" xfId="1" applyFont="1" applyFill="1" applyBorder="1" applyAlignment="1">
      <alignment horizontal="left" vertical="center"/>
    </xf>
    <xf numFmtId="20" fontId="48" fillId="61" borderId="101" xfId="0" applyNumberFormat="1" applyFont="1" applyFill="1" applyBorder="1" applyAlignment="1">
      <alignment horizontal="center" vertical="center"/>
    </xf>
    <xf numFmtId="20" fontId="51" fillId="61" borderId="101" xfId="0" applyNumberFormat="1" applyFont="1" applyFill="1" applyBorder="1" applyAlignment="1">
      <alignment horizontal="center" vertical="center"/>
    </xf>
    <xf numFmtId="0" fontId="50" fillId="14" borderId="219" xfId="0" applyFont="1" applyFill="1" applyBorder="1" applyAlignment="1">
      <alignment horizontal="center" vertical="center" wrapText="1"/>
    </xf>
    <xf numFmtId="0" fontId="50" fillId="14" borderId="80" xfId="0" applyFont="1" applyFill="1" applyBorder="1" applyAlignment="1">
      <alignment horizontal="center"/>
    </xf>
    <xf numFmtId="20" fontId="48" fillId="59" borderId="220" xfId="0" applyNumberFormat="1" applyFont="1" applyFill="1" applyBorder="1" applyAlignment="1">
      <alignment horizontal="center" vertical="center"/>
    </xf>
    <xf numFmtId="20" fontId="48" fillId="59" borderId="141" xfId="0" applyNumberFormat="1" applyFont="1" applyFill="1" applyBorder="1" applyAlignment="1">
      <alignment horizontal="center" vertical="center"/>
    </xf>
    <xf numFmtId="20" fontId="48" fillId="59" borderId="221" xfId="0" applyNumberFormat="1" applyFont="1" applyFill="1" applyBorder="1" applyAlignment="1">
      <alignment horizontal="center" vertical="center"/>
    </xf>
    <xf numFmtId="20" fontId="51" fillId="14" borderId="185" xfId="0" applyNumberFormat="1" applyFont="1" applyFill="1" applyBorder="1" applyAlignment="1">
      <alignment horizontal="center" vertical="center"/>
    </xf>
    <xf numFmtId="20" fontId="51" fillId="5" borderId="118" xfId="0" applyNumberFormat="1" applyFont="1" applyFill="1" applyBorder="1" applyAlignment="1">
      <alignment horizontal="center" vertical="center"/>
    </xf>
    <xf numFmtId="20" fontId="51" fillId="14" borderId="118" xfId="0" applyNumberFormat="1" applyFont="1" applyFill="1" applyBorder="1" applyAlignment="1">
      <alignment horizontal="center" vertical="center"/>
    </xf>
    <xf numFmtId="20" fontId="51" fillId="5" borderId="185" xfId="0" applyNumberFormat="1" applyFont="1" applyFill="1" applyBorder="1" applyAlignment="1">
      <alignment horizontal="center" vertical="center"/>
    </xf>
    <xf numFmtId="20" fontId="51" fillId="14" borderId="222" xfId="0" applyNumberFormat="1" applyFont="1" applyFill="1" applyBorder="1" applyAlignment="1">
      <alignment horizontal="center" vertical="center"/>
    </xf>
    <xf numFmtId="20" fontId="48" fillId="3" borderId="185" xfId="0" applyNumberFormat="1" applyFont="1" applyFill="1" applyBorder="1" applyAlignment="1">
      <alignment horizontal="center" vertical="center"/>
    </xf>
    <xf numFmtId="20" fontId="48" fillId="3" borderId="115" xfId="0" applyNumberFormat="1" applyFont="1" applyFill="1" applyBorder="1" applyAlignment="1">
      <alignment horizontal="center" vertical="center"/>
    </xf>
    <xf numFmtId="20" fontId="48" fillId="5" borderId="115" xfId="0" applyNumberFormat="1" applyFont="1" applyFill="1" applyBorder="1" applyAlignment="1">
      <alignment horizontal="center" vertical="center"/>
    </xf>
    <xf numFmtId="20" fontId="51" fillId="3" borderId="115" xfId="0" applyNumberFormat="1" applyFont="1" applyFill="1" applyBorder="1" applyAlignment="1">
      <alignment horizontal="center" vertical="center"/>
    </xf>
    <xf numFmtId="20" fontId="51" fillId="3" borderId="186" xfId="0" applyNumberFormat="1" applyFont="1" applyFill="1" applyBorder="1" applyAlignment="1">
      <alignment horizontal="center" vertical="center"/>
    </xf>
    <xf numFmtId="20" fontId="48" fillId="3" borderId="178" xfId="0" applyNumberFormat="1" applyFont="1" applyFill="1" applyBorder="1" applyAlignment="1">
      <alignment horizontal="center"/>
    </xf>
    <xf numFmtId="20" fontId="48" fillId="67" borderId="178" xfId="0" applyNumberFormat="1" applyFont="1" applyFill="1" applyBorder="1" applyAlignment="1">
      <alignment horizontal="center" vertical="center"/>
    </xf>
    <xf numFmtId="20" fontId="48" fillId="3" borderId="178" xfId="0" applyNumberFormat="1" applyFont="1" applyFill="1" applyBorder="1" applyAlignment="1">
      <alignment horizontal="center" vertical="center"/>
    </xf>
    <xf numFmtId="20" fontId="48" fillId="66" borderId="178" xfId="0" applyNumberFormat="1" applyFont="1" applyFill="1" applyBorder="1" applyAlignment="1">
      <alignment horizontal="center" vertical="center"/>
    </xf>
    <xf numFmtId="20" fontId="48" fillId="8" borderId="179" xfId="0" applyNumberFormat="1" applyFont="1" applyFill="1" applyBorder="1" applyAlignment="1">
      <alignment horizontal="center" vertical="center"/>
    </xf>
    <xf numFmtId="20" fontId="48" fillId="3" borderId="180" xfId="0" applyNumberFormat="1" applyFont="1" applyFill="1" applyBorder="1" applyAlignment="1">
      <alignment horizontal="center" vertical="center"/>
    </xf>
    <xf numFmtId="20" fontId="48" fillId="5" borderId="129" xfId="0" applyNumberFormat="1" applyFont="1" applyFill="1" applyBorder="1" applyAlignment="1">
      <alignment horizontal="center" vertical="center"/>
    </xf>
    <xf numFmtId="20" fontId="48" fillId="3" borderId="223" xfId="0" applyNumberFormat="1" applyFont="1" applyFill="1" applyBorder="1" applyAlignment="1">
      <alignment horizontal="center" vertical="center"/>
    </xf>
    <xf numFmtId="20" fontId="44" fillId="61" borderId="113" xfId="0" applyNumberFormat="1" applyFont="1" applyFill="1" applyBorder="1" applyAlignment="1">
      <alignment horizontal="center"/>
    </xf>
    <xf numFmtId="20" fontId="44" fillId="61" borderId="113" xfId="0" applyNumberFormat="1" applyFont="1" applyFill="1" applyBorder="1" applyAlignment="1">
      <alignment horizontal="center" vertical="center"/>
    </xf>
    <xf numFmtId="0" fontId="32" fillId="32" borderId="176" xfId="0" applyFont="1" applyFill="1" applyBorder="1" applyAlignment="1">
      <alignment horizontal="left" vertical="center"/>
    </xf>
    <xf numFmtId="0" fontId="3" fillId="32" borderId="66" xfId="0" applyFont="1" applyFill="1" applyBorder="1" applyAlignment="1">
      <alignment horizontal="center" vertical="center"/>
    </xf>
    <xf numFmtId="20" fontId="44" fillId="36" borderId="113" xfId="0" applyNumberFormat="1" applyFont="1" applyFill="1" applyBorder="1" applyAlignment="1">
      <alignment horizontal="center"/>
    </xf>
    <xf numFmtId="0" fontId="12" fillId="3" borderId="93" xfId="0" applyFont="1" applyFill="1" applyBorder="1"/>
    <xf numFmtId="16" fontId="12" fillId="3" borderId="105" xfId="0" applyNumberFormat="1" applyFont="1" applyFill="1" applyBorder="1"/>
    <xf numFmtId="0" fontId="12" fillId="3" borderId="105" xfId="0" applyFont="1" applyFill="1" applyBorder="1"/>
    <xf numFmtId="20" fontId="48" fillId="5" borderId="113" xfId="0" applyNumberFormat="1" applyFont="1" applyFill="1" applyBorder="1" applyAlignment="1">
      <alignment horizontal="center"/>
    </xf>
    <xf numFmtId="20" fontId="48" fillId="5" borderId="143" xfId="0" applyNumberFormat="1" applyFont="1" applyFill="1" applyBorder="1" applyAlignment="1">
      <alignment horizontal="center"/>
    </xf>
    <xf numFmtId="20" fontId="51" fillId="5" borderId="224" xfId="0" applyNumberFormat="1" applyFont="1" applyFill="1" applyBorder="1" applyAlignment="1">
      <alignment horizontal="center" vertical="center"/>
    </xf>
    <xf numFmtId="20" fontId="48" fillId="3" borderId="224" xfId="0" applyNumberFormat="1" applyFont="1" applyFill="1" applyBorder="1" applyAlignment="1">
      <alignment horizontal="center" vertical="center"/>
    </xf>
    <xf numFmtId="20" fontId="14" fillId="3" borderId="101" xfId="0" applyNumberFormat="1" applyFont="1" applyFill="1" applyBorder="1" applyAlignment="1">
      <alignment horizontal="center"/>
    </xf>
    <xf numFmtId="20" fontId="14" fillId="3" borderId="60" xfId="0" applyNumberFormat="1" applyFont="1" applyFill="1" applyBorder="1" applyAlignment="1">
      <alignment horizontal="center" vertical="center"/>
    </xf>
    <xf numFmtId="20" fontId="14" fillId="3" borderId="61" xfId="0" applyNumberFormat="1" applyFont="1" applyFill="1" applyBorder="1" applyAlignment="1">
      <alignment horizontal="center" vertical="center"/>
    </xf>
    <xf numFmtId="20" fontId="14" fillId="3" borderId="61" xfId="0" applyNumberFormat="1" applyFont="1" applyFill="1" applyBorder="1" applyAlignment="1">
      <alignment horizontal="center"/>
    </xf>
    <xf numFmtId="20" fontId="48" fillId="8" borderId="113" xfId="0" applyNumberFormat="1" applyFont="1" applyFill="1" applyBorder="1" applyAlignment="1">
      <alignment horizontal="center"/>
    </xf>
    <xf numFmtId="20" fontId="48" fillId="8" borderId="143" xfId="0" applyNumberFormat="1" applyFont="1" applyFill="1" applyBorder="1" applyAlignment="1">
      <alignment horizontal="center" vertical="center"/>
    </xf>
    <xf numFmtId="20" fontId="51" fillId="3" borderId="228" xfId="0" applyNumberFormat="1" applyFont="1" applyFill="1" applyBorder="1" applyAlignment="1">
      <alignment horizontal="center" vertical="center"/>
    </xf>
    <xf numFmtId="20" fontId="51" fillId="3" borderId="154" xfId="0" applyNumberFormat="1" applyFont="1" applyFill="1" applyBorder="1" applyAlignment="1">
      <alignment horizontal="center" vertical="center"/>
    </xf>
    <xf numFmtId="20" fontId="51" fillId="3" borderId="230" xfId="0" applyNumberFormat="1" applyFont="1" applyFill="1" applyBorder="1" applyAlignment="1">
      <alignment horizontal="center" vertical="center"/>
    </xf>
    <xf numFmtId="20" fontId="51" fillId="3" borderId="231" xfId="0" applyNumberFormat="1" applyFont="1" applyFill="1" applyBorder="1" applyAlignment="1">
      <alignment horizontal="center" vertical="center"/>
    </xf>
    <xf numFmtId="20" fontId="51" fillId="5" borderId="228" xfId="0" applyNumberFormat="1" applyFont="1" applyFill="1" applyBorder="1" applyAlignment="1">
      <alignment horizontal="center" vertical="center"/>
    </xf>
    <xf numFmtId="20" fontId="51" fillId="5" borderId="232" xfId="0" applyNumberFormat="1" applyFont="1" applyFill="1" applyBorder="1" applyAlignment="1">
      <alignment horizontal="center" vertical="center"/>
    </xf>
    <xf numFmtId="20" fontId="48" fillId="66" borderId="118" xfId="0" applyNumberFormat="1" applyFont="1" applyFill="1" applyBorder="1" applyAlignment="1">
      <alignment horizontal="center" vertical="center"/>
    </xf>
    <xf numFmtId="20" fontId="48" fillId="66" borderId="143" xfId="0" applyNumberFormat="1" applyFont="1" applyFill="1" applyBorder="1" applyAlignment="1">
      <alignment horizontal="center" vertical="center"/>
    </xf>
    <xf numFmtId="20" fontId="51" fillId="28" borderId="143" xfId="0" applyNumberFormat="1" applyFont="1" applyFill="1" applyBorder="1" applyAlignment="1">
      <alignment horizontal="center" vertical="center"/>
    </xf>
    <xf numFmtId="20" fontId="48" fillId="28" borderId="229" xfId="0" applyNumberFormat="1" applyFont="1" applyFill="1" applyBorder="1" applyAlignment="1">
      <alignment horizontal="center" vertical="center"/>
    </xf>
    <xf numFmtId="20" fontId="48" fillId="28" borderId="228" xfId="0" applyNumberFormat="1" applyFont="1" applyFill="1" applyBorder="1" applyAlignment="1">
      <alignment horizontal="center" vertical="center"/>
    </xf>
    <xf numFmtId="20" fontId="48" fillId="28" borderId="113" xfId="0" applyNumberFormat="1" applyFont="1" applyFill="1" applyBorder="1" applyAlignment="1">
      <alignment horizontal="center"/>
    </xf>
    <xf numFmtId="20" fontId="51" fillId="14" borderId="101" xfId="0" applyNumberFormat="1" applyFont="1" applyFill="1" applyBorder="1" applyAlignment="1">
      <alignment horizontal="center" vertical="center"/>
    </xf>
    <xf numFmtId="20" fontId="51" fillId="14" borderId="117" xfId="0" applyNumberFormat="1" applyFont="1" applyFill="1" applyBorder="1" applyAlignment="1">
      <alignment horizontal="center" vertical="center"/>
    </xf>
    <xf numFmtId="20" fontId="51" fillId="14" borderId="154" xfId="0" applyNumberFormat="1" applyFont="1" applyFill="1" applyBorder="1" applyAlignment="1">
      <alignment horizontal="center" vertical="center"/>
    </xf>
    <xf numFmtId="20" fontId="51" fillId="3" borderId="233" xfId="0" applyNumberFormat="1" applyFont="1" applyFill="1" applyBorder="1" applyAlignment="1">
      <alignment horizontal="center" vertical="center"/>
    </xf>
    <xf numFmtId="20" fontId="51" fillId="3" borderId="129" xfId="0" applyNumberFormat="1" applyFont="1" applyFill="1" applyBorder="1" applyAlignment="1">
      <alignment horizontal="center" vertical="center"/>
    </xf>
    <xf numFmtId="20" fontId="51" fillId="14" borderId="227" xfId="0" applyNumberFormat="1" applyFont="1" applyFill="1" applyBorder="1" applyAlignment="1">
      <alignment horizontal="center" vertical="center"/>
    </xf>
    <xf numFmtId="20" fontId="51" fillId="5" borderId="153" xfId="0" applyNumberFormat="1" applyFont="1" applyFill="1" applyBorder="1" applyAlignment="1">
      <alignment horizontal="center" vertical="center"/>
    </xf>
    <xf numFmtId="20" fontId="51" fillId="14" borderId="234" xfId="0" applyNumberFormat="1" applyFont="1" applyFill="1" applyBorder="1" applyAlignment="1">
      <alignment horizontal="center" vertical="center"/>
    </xf>
    <xf numFmtId="20" fontId="51" fillId="14" borderId="129" xfId="0" applyNumberFormat="1" applyFont="1" applyFill="1" applyBorder="1" applyAlignment="1">
      <alignment horizontal="center" vertical="center"/>
    </xf>
    <xf numFmtId="0" fontId="50" fillId="14" borderId="236" xfId="0" applyFont="1" applyFill="1" applyBorder="1" applyAlignment="1">
      <alignment horizontal="center" vertical="center" wrapText="1"/>
    </xf>
    <xf numFmtId="20" fontId="48" fillId="8" borderId="103" xfId="0" applyNumberFormat="1" applyFont="1" applyFill="1" applyBorder="1" applyAlignment="1">
      <alignment horizontal="center" vertical="center"/>
    </xf>
    <xf numFmtId="20" fontId="48" fillId="3" borderId="170" xfId="0" applyNumberFormat="1" applyFont="1" applyFill="1" applyBorder="1" applyAlignment="1">
      <alignment horizontal="center" vertical="center"/>
    </xf>
    <xf numFmtId="20" fontId="48" fillId="5" borderId="96" xfId="0" applyNumberFormat="1" applyFont="1" applyFill="1" applyBorder="1" applyAlignment="1">
      <alignment horizontal="center" vertical="center"/>
    </xf>
    <xf numFmtId="20" fontId="48" fillId="5" borderId="103" xfId="0" applyNumberFormat="1" applyFont="1" applyFill="1" applyBorder="1" applyAlignment="1">
      <alignment horizontal="center" vertical="center"/>
    </xf>
    <xf numFmtId="20" fontId="51" fillId="14" borderId="237" xfId="0" applyNumberFormat="1" applyFont="1" applyFill="1" applyBorder="1" applyAlignment="1">
      <alignment horizontal="center" vertical="center"/>
    </xf>
    <xf numFmtId="20" fontId="51" fillId="14" borderId="238" xfId="0" applyNumberFormat="1" applyFont="1" applyFill="1" applyBorder="1" applyAlignment="1">
      <alignment horizontal="center" vertical="center"/>
    </xf>
    <xf numFmtId="20" fontId="48" fillId="5" borderId="107" xfId="0" applyNumberFormat="1" applyFont="1" applyFill="1" applyBorder="1" applyAlignment="1">
      <alignment horizontal="center" vertical="center"/>
    </xf>
    <xf numFmtId="20" fontId="48" fillId="59" borderId="239" xfId="0" applyNumberFormat="1" applyFont="1" applyFill="1" applyBorder="1" applyAlignment="1">
      <alignment horizontal="center" vertical="center"/>
    </xf>
    <xf numFmtId="20" fontId="48" fillId="59" borderId="240" xfId="0" applyNumberFormat="1" applyFont="1" applyFill="1" applyBorder="1" applyAlignment="1">
      <alignment horizontal="center" vertical="center"/>
    </xf>
    <xf numFmtId="20" fontId="48" fillId="59" borderId="241" xfId="0" applyNumberFormat="1" applyFont="1" applyFill="1" applyBorder="1" applyAlignment="1">
      <alignment horizontal="center" vertical="center"/>
    </xf>
    <xf numFmtId="20" fontId="48" fillId="59" borderId="242" xfId="0" applyNumberFormat="1" applyFont="1" applyFill="1" applyBorder="1" applyAlignment="1">
      <alignment horizontal="center" vertical="center"/>
    </xf>
    <xf numFmtId="0" fontId="50" fillId="67" borderId="82" xfId="0" applyFont="1" applyFill="1" applyBorder="1" applyAlignment="1">
      <alignment horizontal="center"/>
    </xf>
    <xf numFmtId="0" fontId="51" fillId="67" borderId="243" xfId="1" applyFont="1" applyFill="1" applyBorder="1" applyAlignment="1">
      <alignment horizontal="left" vertical="center"/>
    </xf>
    <xf numFmtId="0" fontId="50" fillId="67" borderId="243" xfId="0" applyFont="1" applyFill="1" applyBorder="1" applyAlignment="1">
      <alignment horizontal="center"/>
    </xf>
    <xf numFmtId="0" fontId="51" fillId="67" borderId="1" xfId="1" applyFont="1" applyFill="1" applyBorder="1" applyAlignment="1">
      <alignment horizontal="left" vertical="center"/>
    </xf>
    <xf numFmtId="0" fontId="50" fillId="67" borderId="43" xfId="0" applyFont="1" applyFill="1" applyBorder="1" applyAlignment="1">
      <alignment horizontal="center"/>
    </xf>
    <xf numFmtId="20" fontId="14" fillId="3" borderId="101" xfId="0" applyNumberFormat="1" applyFont="1" applyFill="1" applyBorder="1" applyAlignment="1">
      <alignment horizontal="center" vertical="center"/>
    </xf>
    <xf numFmtId="20" fontId="2" fillId="0" borderId="10" xfId="0" applyNumberFormat="1" applyFont="1" applyBorder="1" applyAlignment="1">
      <alignment horizontal="center" vertical="center"/>
    </xf>
    <xf numFmtId="20" fontId="45" fillId="5" borderId="47" xfId="0" applyNumberFormat="1" applyFont="1" applyFill="1" applyBorder="1" applyAlignment="1">
      <alignment horizontal="center" vertical="center"/>
    </xf>
    <xf numFmtId="20" fontId="45" fillId="5" borderId="21" xfId="0" applyNumberFormat="1" applyFont="1" applyFill="1" applyBorder="1" applyAlignment="1">
      <alignment horizontal="center" vertical="center"/>
    </xf>
    <xf numFmtId="20" fontId="44" fillId="54" borderId="94" xfId="0" applyNumberFormat="1" applyFont="1" applyFill="1" applyBorder="1" applyAlignment="1">
      <alignment horizontal="center"/>
    </xf>
    <xf numFmtId="20" fontId="45" fillId="5" borderId="35" xfId="0" applyNumberFormat="1" applyFont="1" applyFill="1" applyBorder="1" applyAlignment="1">
      <alignment horizontal="center" vertical="center"/>
    </xf>
    <xf numFmtId="0" fontId="3" fillId="32" borderId="93" xfId="0" applyFont="1" applyFill="1" applyBorder="1" applyAlignment="1">
      <alignment horizontal="center" vertical="center"/>
    </xf>
    <xf numFmtId="20" fontId="14" fillId="3" borderId="152" xfId="0" applyNumberFormat="1" applyFont="1" applyFill="1" applyBorder="1" applyAlignment="1">
      <alignment horizontal="center" vertical="center"/>
    </xf>
    <xf numFmtId="20" fontId="14" fillId="3" borderId="97" xfId="0" applyNumberFormat="1" applyFont="1" applyFill="1" applyBorder="1" applyAlignment="1">
      <alignment horizontal="center" vertical="center"/>
    </xf>
    <xf numFmtId="20" fontId="44" fillId="3" borderId="97" xfId="0" applyNumberFormat="1" applyFont="1" applyFill="1" applyBorder="1" applyAlignment="1">
      <alignment horizontal="center" vertical="center"/>
    </xf>
    <xf numFmtId="20" fontId="45" fillId="5" borderId="97" xfId="0" applyNumberFormat="1" applyFont="1" applyFill="1" applyBorder="1" applyAlignment="1">
      <alignment horizontal="center"/>
    </xf>
    <xf numFmtId="20" fontId="44" fillId="3" borderId="97" xfId="0" applyNumberFormat="1" applyFont="1" applyFill="1" applyBorder="1" applyAlignment="1">
      <alignment horizontal="center"/>
    </xf>
    <xf numFmtId="20" fontId="44" fillId="3" borderId="153" xfId="0" applyNumberFormat="1" applyFont="1" applyFill="1" applyBorder="1" applyAlignment="1">
      <alignment horizontal="center"/>
    </xf>
    <xf numFmtId="20" fontId="44" fillId="25" borderId="0" xfId="0" applyNumberFormat="1" applyFont="1" applyFill="1" applyAlignment="1">
      <alignment horizontal="center"/>
    </xf>
    <xf numFmtId="20" fontId="14" fillId="3" borderId="152" xfId="0" applyNumberFormat="1" applyFont="1" applyFill="1" applyBorder="1" applyAlignment="1">
      <alignment horizontal="center"/>
    </xf>
    <xf numFmtId="20" fontId="14" fillId="3" borderId="103" xfId="0" applyNumberFormat="1" applyFont="1" applyFill="1" applyBorder="1" applyAlignment="1">
      <alignment horizontal="center"/>
    </xf>
    <xf numFmtId="20" fontId="44" fillId="3" borderId="103" xfId="0" applyNumberFormat="1" applyFont="1" applyFill="1" applyBorder="1" applyAlignment="1">
      <alignment horizontal="center"/>
    </xf>
    <xf numFmtId="20" fontId="44" fillId="3" borderId="207" xfId="0" applyNumberFormat="1" applyFont="1" applyFill="1" applyBorder="1" applyAlignment="1">
      <alignment horizontal="center"/>
    </xf>
    <xf numFmtId="20" fontId="14" fillId="3" borderId="97" xfId="0" applyNumberFormat="1" applyFont="1" applyFill="1" applyBorder="1" applyAlignment="1">
      <alignment horizontal="center"/>
    </xf>
    <xf numFmtId="20" fontId="14" fillId="3" borderId="153" xfId="0" applyNumberFormat="1" applyFont="1" applyFill="1" applyBorder="1" applyAlignment="1">
      <alignment horizontal="center"/>
    </xf>
    <xf numFmtId="20" fontId="14" fillId="3" borderId="0" xfId="0" applyNumberFormat="1" applyFont="1" applyFill="1" applyAlignment="1">
      <alignment horizontal="center"/>
    </xf>
    <xf numFmtId="20" fontId="14" fillId="5" borderId="16" xfId="0" applyNumberFormat="1" applyFont="1" applyFill="1" applyBorder="1" applyAlignment="1">
      <alignment horizontal="center"/>
    </xf>
    <xf numFmtId="20" fontId="14" fillId="5" borderId="31" xfId="0" applyNumberFormat="1" applyFont="1" applyFill="1" applyBorder="1" applyAlignment="1">
      <alignment horizontal="center"/>
    </xf>
    <xf numFmtId="20" fontId="44" fillId="5" borderId="0" xfId="0" applyNumberFormat="1" applyFont="1" applyFill="1" applyAlignment="1">
      <alignment horizontal="center"/>
    </xf>
    <xf numFmtId="20" fontId="14" fillId="5" borderId="0" xfId="0" applyNumberFormat="1" applyFont="1" applyFill="1" applyAlignment="1">
      <alignment horizontal="center" vertical="center"/>
    </xf>
    <xf numFmtId="20" fontId="44" fillId="3" borderId="0" xfId="0" applyNumberFormat="1" applyFont="1" applyFill="1" applyAlignment="1">
      <alignment horizontal="center" vertical="center"/>
    </xf>
    <xf numFmtId="20" fontId="14" fillId="3" borderId="0" xfId="0" applyNumberFormat="1" applyFont="1" applyFill="1" applyAlignment="1">
      <alignment horizontal="center" vertical="center"/>
    </xf>
    <xf numFmtId="20" fontId="14" fillId="3" borderId="244" xfId="0" applyNumberFormat="1" applyFont="1" applyFill="1" applyBorder="1" applyAlignment="1">
      <alignment horizontal="center" vertical="center"/>
    </xf>
    <xf numFmtId="20" fontId="44" fillId="5" borderId="0" xfId="0" applyNumberFormat="1" applyFont="1" applyFill="1" applyAlignment="1">
      <alignment horizontal="center" vertical="center"/>
    </xf>
    <xf numFmtId="20" fontId="44" fillId="32" borderId="0" xfId="0" applyNumberFormat="1" applyFont="1" applyFill="1" applyAlignment="1">
      <alignment horizontal="center"/>
    </xf>
    <xf numFmtId="20" fontId="44" fillId="61" borderId="0" xfId="0" applyNumberFormat="1" applyFont="1" applyFill="1" applyAlignment="1">
      <alignment horizontal="center" vertical="center"/>
    </xf>
    <xf numFmtId="20" fontId="44" fillId="32" borderId="143" xfId="0" applyNumberFormat="1" applyFont="1" applyFill="1" applyBorder="1" applyAlignment="1">
      <alignment horizontal="center"/>
    </xf>
    <xf numFmtId="20" fontId="44" fillId="3" borderId="103" xfId="0" applyNumberFormat="1" applyFont="1" applyFill="1" applyBorder="1" applyAlignment="1">
      <alignment horizontal="center" vertical="center"/>
    </xf>
    <xf numFmtId="20" fontId="14" fillId="3" borderId="223" xfId="0" applyNumberFormat="1" applyFont="1" applyFill="1" applyBorder="1" applyAlignment="1">
      <alignment horizontal="center"/>
    </xf>
    <xf numFmtId="20" fontId="14" fillId="3" borderId="103" xfId="0" applyNumberFormat="1" applyFont="1" applyFill="1" applyBorder="1" applyAlignment="1">
      <alignment horizontal="center" vertical="center"/>
    </xf>
    <xf numFmtId="20" fontId="14" fillId="3" borderId="207" xfId="0" applyNumberFormat="1" applyFont="1" applyFill="1" applyBorder="1" applyAlignment="1">
      <alignment horizontal="center" vertical="center"/>
    </xf>
    <xf numFmtId="20" fontId="44" fillId="65" borderId="113" xfId="0" applyNumberFormat="1" applyFont="1" applyFill="1" applyBorder="1" applyAlignment="1">
      <alignment horizontal="center" vertical="center"/>
    </xf>
    <xf numFmtId="20" fontId="14" fillId="65" borderId="113" xfId="0" applyNumberFormat="1" applyFont="1" applyFill="1" applyBorder="1" applyAlignment="1">
      <alignment horizontal="center" vertical="center"/>
    </xf>
    <xf numFmtId="20" fontId="14" fillId="65" borderId="103" xfId="0" applyNumberFormat="1" applyFont="1" applyFill="1" applyBorder="1" applyAlignment="1">
      <alignment horizontal="center" vertical="center"/>
    </xf>
    <xf numFmtId="20" fontId="14" fillId="65" borderId="178" xfId="0" applyNumberFormat="1" applyFont="1" applyFill="1" applyBorder="1" applyAlignment="1">
      <alignment horizontal="center" vertical="center"/>
    </xf>
    <xf numFmtId="20" fontId="44" fillId="25" borderId="117" xfId="0" applyNumberFormat="1" applyFont="1" applyFill="1" applyBorder="1" applyAlignment="1">
      <alignment horizontal="center"/>
    </xf>
    <xf numFmtId="20" fontId="14" fillId="3" borderId="34" xfId="0" applyNumberFormat="1" applyFont="1" applyFill="1" applyBorder="1" applyAlignment="1">
      <alignment horizontal="center"/>
    </xf>
    <xf numFmtId="20" fontId="14" fillId="3" borderId="35" xfId="0" applyNumberFormat="1" applyFont="1" applyFill="1" applyBorder="1" applyAlignment="1">
      <alignment horizontal="center"/>
    </xf>
    <xf numFmtId="20" fontId="14" fillId="3" borderId="245" xfId="0" applyNumberFormat="1" applyFont="1" applyFill="1" applyBorder="1" applyAlignment="1">
      <alignment horizontal="center" vertical="center"/>
    </xf>
    <xf numFmtId="20" fontId="14" fillId="3" borderId="170" xfId="0" applyNumberFormat="1" applyFont="1" applyFill="1" applyBorder="1" applyAlignment="1">
      <alignment horizontal="center" vertical="center"/>
    </xf>
    <xf numFmtId="20" fontId="14" fillId="3" borderId="246" xfId="0" applyNumberFormat="1" applyFont="1" applyFill="1" applyBorder="1" applyAlignment="1">
      <alignment horizontal="center"/>
    </xf>
    <xf numFmtId="20" fontId="14" fillId="3" borderId="247" xfId="0" applyNumberFormat="1" applyFont="1" applyFill="1" applyBorder="1" applyAlignment="1">
      <alignment horizontal="center"/>
    </xf>
    <xf numFmtId="20" fontId="14" fillId="3" borderId="247" xfId="0" applyNumberFormat="1" applyFont="1" applyFill="1" applyBorder="1" applyAlignment="1">
      <alignment horizontal="center" vertical="center"/>
    </xf>
    <xf numFmtId="20" fontId="14" fillId="17" borderId="101" xfId="0" applyNumberFormat="1" applyFont="1" applyFill="1" applyBorder="1" applyAlignment="1">
      <alignment horizontal="center"/>
    </xf>
    <xf numFmtId="20" fontId="44" fillId="3" borderId="101" xfId="0" applyNumberFormat="1" applyFont="1" applyFill="1" applyBorder="1" applyAlignment="1">
      <alignment horizontal="center"/>
    </xf>
    <xf numFmtId="20" fontId="14" fillId="5" borderId="129" xfId="0" applyNumberFormat="1" applyFont="1" applyFill="1" applyBorder="1" applyAlignment="1">
      <alignment horizontal="center" vertical="center"/>
    </xf>
    <xf numFmtId="20" fontId="14" fillId="5" borderId="101" xfId="0" applyNumberFormat="1" applyFont="1" applyFill="1" applyBorder="1" applyAlignment="1">
      <alignment horizontal="center" vertical="center"/>
    </xf>
    <xf numFmtId="20" fontId="14" fillId="5" borderId="101" xfId="0" applyNumberFormat="1" applyFont="1" applyFill="1" applyBorder="1" applyAlignment="1">
      <alignment horizontal="center"/>
    </xf>
    <xf numFmtId="20" fontId="14" fillId="3" borderId="8" xfId="0" applyNumberFormat="1" applyFont="1" applyFill="1" applyBorder="1" applyAlignment="1">
      <alignment horizontal="center" vertical="center"/>
    </xf>
    <xf numFmtId="20" fontId="45" fillId="5" borderId="8" xfId="0" applyNumberFormat="1" applyFont="1" applyFill="1" applyBorder="1" applyAlignment="1">
      <alignment horizontal="center"/>
    </xf>
    <xf numFmtId="20" fontId="14" fillId="3" borderId="8" xfId="0" applyNumberFormat="1" applyFont="1" applyFill="1" applyBorder="1" applyAlignment="1">
      <alignment horizontal="center"/>
    </xf>
    <xf numFmtId="20" fontId="44" fillId="54" borderId="8" xfId="0" applyNumberFormat="1" applyFont="1" applyFill="1" applyBorder="1" applyAlignment="1">
      <alignment horizontal="center"/>
    </xf>
    <xf numFmtId="20" fontId="44" fillId="54" borderId="9" xfId="0" applyNumberFormat="1" applyFont="1" applyFill="1" applyBorder="1" applyAlignment="1">
      <alignment horizontal="center"/>
    </xf>
    <xf numFmtId="20" fontId="44" fillId="3" borderId="17" xfId="0" applyNumberFormat="1" applyFont="1" applyFill="1" applyBorder="1" applyAlignment="1">
      <alignment horizontal="center"/>
    </xf>
    <xf numFmtId="20" fontId="45" fillId="5" borderId="17" xfId="0" applyNumberFormat="1" applyFont="1" applyFill="1" applyBorder="1" applyAlignment="1">
      <alignment horizontal="center"/>
    </xf>
    <xf numFmtId="20" fontId="14" fillId="3" borderId="17" xfId="0" applyNumberFormat="1" applyFont="1" applyFill="1" applyBorder="1" applyAlignment="1">
      <alignment horizontal="center"/>
    </xf>
    <xf numFmtId="20" fontId="14" fillId="3" borderId="11" xfId="0" applyNumberFormat="1" applyFont="1" applyFill="1" applyBorder="1" applyAlignment="1">
      <alignment horizontal="center" vertical="center"/>
    </xf>
    <xf numFmtId="20" fontId="44" fillId="54" borderId="11" xfId="0" applyNumberFormat="1" applyFont="1" applyFill="1" applyBorder="1" applyAlignment="1">
      <alignment horizontal="center"/>
    </xf>
    <xf numFmtId="20" fontId="45" fillId="5" borderId="11" xfId="0" applyNumberFormat="1" applyFont="1" applyFill="1" applyBorder="1" applyAlignment="1">
      <alignment horizontal="center"/>
    </xf>
    <xf numFmtId="20" fontId="14" fillId="3" borderId="11" xfId="0" applyNumberFormat="1" applyFont="1" applyFill="1" applyBorder="1" applyAlignment="1">
      <alignment horizontal="center"/>
    </xf>
    <xf numFmtId="20" fontId="44" fillId="3" borderId="11" xfId="0" applyNumberFormat="1" applyFont="1" applyFill="1" applyBorder="1" applyAlignment="1">
      <alignment horizontal="center"/>
    </xf>
    <xf numFmtId="20" fontId="44" fillId="36" borderId="11" xfId="0" applyNumberFormat="1" applyFont="1" applyFill="1" applyBorder="1" applyAlignment="1">
      <alignment horizontal="center"/>
    </xf>
    <xf numFmtId="20" fontId="44" fillId="25" borderId="12" xfId="0" applyNumberFormat="1" applyFont="1" applyFill="1" applyBorder="1" applyAlignment="1">
      <alignment horizontal="center"/>
    </xf>
    <xf numFmtId="20" fontId="14" fillId="3" borderId="25" xfId="0" applyNumberFormat="1" applyFont="1" applyFill="1" applyBorder="1" applyAlignment="1">
      <alignment horizontal="center" vertical="center"/>
    </xf>
    <xf numFmtId="20" fontId="44" fillId="54" borderId="30" xfId="0" applyNumberFormat="1" applyFont="1" applyFill="1" applyBorder="1" applyAlignment="1">
      <alignment horizontal="center"/>
    </xf>
    <xf numFmtId="20" fontId="14" fillId="3" borderId="37" xfId="0" applyNumberFormat="1" applyFont="1" applyFill="1" applyBorder="1" applyAlignment="1">
      <alignment horizontal="center" vertical="center"/>
    </xf>
    <xf numFmtId="0" fontId="3" fillId="32" borderId="5" xfId="0" applyFont="1" applyFill="1" applyBorder="1" applyAlignment="1">
      <alignment horizontal="center" vertical="center"/>
    </xf>
    <xf numFmtId="0" fontId="3" fillId="32" borderId="13" xfId="0" applyFont="1" applyFill="1" applyBorder="1" applyAlignment="1">
      <alignment horizontal="center" vertical="center"/>
    </xf>
    <xf numFmtId="0" fontId="3" fillId="32" borderId="14" xfId="0" applyFont="1" applyFill="1" applyBorder="1" applyAlignment="1">
      <alignment horizontal="center" vertical="center"/>
    </xf>
    <xf numFmtId="0" fontId="3" fillId="32" borderId="18" xfId="0" applyFont="1" applyFill="1" applyBorder="1" applyAlignment="1">
      <alignment horizontal="center" vertical="center"/>
    </xf>
    <xf numFmtId="20" fontId="44" fillId="3" borderId="19" xfId="0" applyNumberFormat="1" applyFont="1" applyFill="1" applyBorder="1" applyAlignment="1">
      <alignment horizontal="center" vertical="center"/>
    </xf>
    <xf numFmtId="20" fontId="44" fillId="3" borderId="12" xfId="0" applyNumberFormat="1" applyFont="1" applyFill="1" applyBorder="1" applyAlignment="1">
      <alignment horizontal="center"/>
    </xf>
    <xf numFmtId="20" fontId="14" fillId="3" borderId="21" xfId="0" applyNumberFormat="1" applyFont="1" applyFill="1" applyBorder="1" applyAlignment="1">
      <alignment horizontal="center" vertical="center"/>
    </xf>
    <xf numFmtId="20" fontId="44" fillId="3" borderId="195" xfId="0" applyNumberFormat="1" applyFont="1" applyFill="1" applyBorder="1" applyAlignment="1">
      <alignment horizontal="center"/>
    </xf>
    <xf numFmtId="20" fontId="44" fillId="3" borderId="61" xfId="0" applyNumberFormat="1" applyFont="1" applyFill="1" applyBorder="1" applyAlignment="1">
      <alignment horizontal="center"/>
    </xf>
    <xf numFmtId="20" fontId="14" fillId="3" borderId="107" xfId="0" applyNumberFormat="1" applyFont="1" applyFill="1" applyBorder="1" applyAlignment="1">
      <alignment horizontal="center" vertical="center"/>
    </xf>
    <xf numFmtId="20" fontId="44" fillId="25" borderId="103" xfId="0" applyNumberFormat="1" applyFont="1" applyFill="1" applyBorder="1" applyAlignment="1">
      <alignment horizontal="center"/>
    </xf>
    <xf numFmtId="0" fontId="12" fillId="3" borderId="0" xfId="0" applyFont="1" applyFill="1"/>
    <xf numFmtId="0" fontId="0" fillId="4" borderId="93" xfId="0" applyFill="1" applyBorder="1"/>
    <xf numFmtId="16" fontId="0" fillId="4" borderId="105" xfId="0" applyNumberFormat="1" applyFill="1" applyBorder="1"/>
    <xf numFmtId="0" fontId="0" fillId="4" borderId="105" xfId="0" applyFill="1" applyBorder="1"/>
    <xf numFmtId="20" fontId="51" fillId="3" borderId="237" xfId="0" applyNumberFormat="1" applyFont="1" applyFill="1" applyBorder="1" applyAlignment="1">
      <alignment horizontal="center" vertical="center"/>
    </xf>
    <xf numFmtId="20" fontId="51" fillId="3" borderId="234" xfId="0" applyNumberFormat="1" applyFont="1" applyFill="1" applyBorder="1" applyAlignment="1">
      <alignment horizontal="center" vertical="center"/>
    </xf>
    <xf numFmtId="20" fontId="51" fillId="3" borderId="227" xfId="0" applyNumberFormat="1" applyFont="1" applyFill="1" applyBorder="1" applyAlignment="1">
      <alignment horizontal="center" vertical="center"/>
    </xf>
    <xf numFmtId="20" fontId="51" fillId="3" borderId="224" xfId="0" applyNumberFormat="1" applyFont="1" applyFill="1" applyBorder="1" applyAlignment="1">
      <alignment horizontal="center" vertical="center"/>
    </xf>
    <xf numFmtId="20" fontId="51" fillId="3" borderId="153" xfId="0" applyNumberFormat="1" applyFont="1" applyFill="1" applyBorder="1" applyAlignment="1">
      <alignment horizontal="center" vertical="center"/>
    </xf>
    <xf numFmtId="20" fontId="51" fillId="3" borderId="238" xfId="0" applyNumberFormat="1" applyFont="1" applyFill="1" applyBorder="1" applyAlignment="1">
      <alignment horizontal="center" vertical="center"/>
    </xf>
    <xf numFmtId="20" fontId="48" fillId="3" borderId="229" xfId="0" applyNumberFormat="1" applyFont="1" applyFill="1" applyBorder="1" applyAlignment="1">
      <alignment horizontal="center" vertical="center"/>
    </xf>
    <xf numFmtId="20" fontId="48" fillId="3" borderId="228" xfId="0" applyNumberFormat="1" applyFont="1" applyFill="1" applyBorder="1" applyAlignment="1">
      <alignment horizontal="center" vertical="center"/>
    </xf>
    <xf numFmtId="20" fontId="51" fillId="3" borderId="232" xfId="0" applyNumberFormat="1" applyFont="1" applyFill="1" applyBorder="1" applyAlignment="1">
      <alignment horizontal="center" vertical="center"/>
    </xf>
    <xf numFmtId="20" fontId="48" fillId="3" borderId="143" xfId="0" applyNumberFormat="1" applyFont="1" applyFill="1" applyBorder="1" applyAlignment="1">
      <alignment horizontal="center"/>
    </xf>
    <xf numFmtId="20" fontId="48" fillId="3" borderId="107" xfId="0" applyNumberFormat="1" applyFont="1" applyFill="1" applyBorder="1" applyAlignment="1">
      <alignment horizontal="center" vertical="center"/>
    </xf>
    <xf numFmtId="0" fontId="50" fillId="14" borderId="248" xfId="0" applyFont="1" applyFill="1" applyBorder="1" applyAlignment="1">
      <alignment horizontal="center" vertical="center" wrapText="1"/>
    </xf>
    <xf numFmtId="0" fontId="50" fillId="14" borderId="250" xfId="0" applyFont="1" applyFill="1" applyBorder="1" applyAlignment="1">
      <alignment horizontal="center" vertical="center" wrapText="1"/>
    </xf>
    <xf numFmtId="0" fontId="47" fillId="0" borderId="249" xfId="0" applyFont="1" applyBorder="1" applyAlignment="1">
      <alignment horizontal="center"/>
    </xf>
    <xf numFmtId="0" fontId="47" fillId="0" borderId="43" xfId="0" applyFont="1" applyBorder="1" applyAlignment="1">
      <alignment horizontal="center"/>
    </xf>
    <xf numFmtId="0" fontId="47" fillId="29" borderId="122" xfId="0" applyFont="1" applyFill="1" applyBorder="1" applyAlignment="1">
      <alignment horizontal="center"/>
    </xf>
    <xf numFmtId="20" fontId="48" fillId="65" borderId="228" xfId="0" applyNumberFormat="1" applyFont="1" applyFill="1" applyBorder="1" applyAlignment="1">
      <alignment horizontal="center"/>
    </xf>
    <xf numFmtId="20" fontId="51" fillId="3" borderId="229" xfId="0" applyNumberFormat="1" applyFont="1" applyFill="1" applyBorder="1" applyAlignment="1">
      <alignment horizontal="center" vertical="center"/>
    </xf>
    <xf numFmtId="0" fontId="50" fillId="14" borderId="255" xfId="0" applyFont="1" applyFill="1" applyBorder="1" applyAlignment="1">
      <alignment horizontal="center" vertical="center" wrapText="1"/>
    </xf>
    <xf numFmtId="20" fontId="51" fillId="5" borderId="129" xfId="0" applyNumberFormat="1" applyFont="1" applyFill="1" applyBorder="1" applyAlignment="1">
      <alignment horizontal="center" vertical="center"/>
    </xf>
    <xf numFmtId="20" fontId="48" fillId="30" borderId="118" xfId="0" applyNumberFormat="1" applyFont="1" applyFill="1" applyBorder="1" applyAlignment="1">
      <alignment horizontal="center" vertical="center"/>
    </xf>
    <xf numFmtId="20" fontId="48" fillId="30" borderId="113" xfId="0" applyNumberFormat="1" applyFont="1" applyFill="1" applyBorder="1" applyAlignment="1">
      <alignment horizontal="center" vertical="center"/>
    </xf>
    <xf numFmtId="20" fontId="48" fillId="30" borderId="101" xfId="0" applyNumberFormat="1" applyFont="1" applyFill="1" applyBorder="1" applyAlignment="1">
      <alignment horizontal="center" vertical="center"/>
    </xf>
    <xf numFmtId="20" fontId="48" fillId="30" borderId="103" xfId="0" applyNumberFormat="1" applyFont="1" applyFill="1" applyBorder="1" applyAlignment="1">
      <alignment horizontal="center" vertical="center"/>
    </xf>
    <xf numFmtId="20" fontId="48" fillId="30" borderId="143" xfId="0" applyNumberFormat="1" applyFont="1" applyFill="1" applyBorder="1" applyAlignment="1">
      <alignment horizontal="center" vertical="center"/>
    </xf>
    <xf numFmtId="20" fontId="48" fillId="30" borderId="129" xfId="0" applyNumberFormat="1" applyFont="1" applyFill="1" applyBorder="1" applyAlignment="1">
      <alignment horizontal="center" vertical="center"/>
    </xf>
    <xf numFmtId="20" fontId="51" fillId="30" borderId="101" xfId="0" applyNumberFormat="1" applyFont="1" applyFill="1" applyBorder="1" applyAlignment="1">
      <alignment horizontal="center" vertical="center"/>
    </xf>
    <xf numFmtId="20" fontId="48" fillId="30" borderId="117" xfId="0" applyNumberFormat="1" applyFont="1" applyFill="1" applyBorder="1" applyAlignment="1">
      <alignment horizontal="center" vertical="center"/>
    </xf>
    <xf numFmtId="20" fontId="51" fillId="30" borderId="113" xfId="0" applyNumberFormat="1" applyFont="1" applyFill="1" applyBorder="1" applyAlignment="1">
      <alignment horizontal="center" vertical="center"/>
    </xf>
    <xf numFmtId="20" fontId="48" fillId="30" borderId="96" xfId="0" applyNumberFormat="1" applyFont="1" applyFill="1" applyBorder="1" applyAlignment="1">
      <alignment horizontal="center" vertical="center"/>
    </xf>
    <xf numFmtId="20" fontId="48" fillId="30" borderId="107" xfId="0" applyNumberFormat="1" applyFont="1" applyFill="1" applyBorder="1" applyAlignment="1">
      <alignment horizontal="center" vertical="center"/>
    </xf>
    <xf numFmtId="20" fontId="48" fillId="59" borderId="170" xfId="0" applyNumberFormat="1" applyFont="1" applyFill="1" applyBorder="1" applyAlignment="1">
      <alignment horizontal="center" vertical="center"/>
    </xf>
    <xf numFmtId="20" fontId="48" fillId="59" borderId="103" xfId="0" applyNumberFormat="1" applyFont="1" applyFill="1" applyBorder="1" applyAlignment="1">
      <alignment horizontal="center" vertical="center"/>
    </xf>
    <xf numFmtId="20" fontId="48" fillId="59" borderId="143" xfId="0" applyNumberFormat="1" applyFont="1" applyFill="1" applyBorder="1" applyAlignment="1">
      <alignment horizontal="center" vertical="center"/>
    </xf>
    <xf numFmtId="20" fontId="2" fillId="59" borderId="16" xfId="0" applyNumberFormat="1" applyFont="1" applyFill="1" applyBorder="1" applyAlignment="1">
      <alignment horizontal="center" vertical="center"/>
    </xf>
    <xf numFmtId="20" fontId="14" fillId="5" borderId="60" xfId="0" applyNumberFormat="1" applyFont="1" applyFill="1" applyBorder="1" applyAlignment="1">
      <alignment horizontal="center" vertical="center"/>
    </xf>
    <xf numFmtId="20" fontId="44" fillId="3" borderId="37" xfId="0" applyNumberFormat="1" applyFont="1" applyFill="1" applyBorder="1" applyAlignment="1">
      <alignment horizontal="center"/>
    </xf>
    <xf numFmtId="20" fontId="14" fillId="3" borderId="9" xfId="0" applyNumberFormat="1" applyFont="1" applyFill="1" applyBorder="1" applyAlignment="1">
      <alignment horizontal="center" vertical="center"/>
    </xf>
    <xf numFmtId="20" fontId="14" fillId="3" borderId="15" xfId="0" applyNumberFormat="1" applyFont="1" applyFill="1" applyBorder="1" applyAlignment="1">
      <alignment horizontal="center" vertical="center"/>
    </xf>
    <xf numFmtId="20" fontId="44" fillId="70" borderId="16" xfId="0" applyNumberFormat="1" applyFont="1" applyFill="1" applyBorder="1" applyAlignment="1">
      <alignment horizontal="center"/>
    </xf>
    <xf numFmtId="20" fontId="51" fillId="3" borderId="256" xfId="0" applyNumberFormat="1" applyFont="1" applyFill="1" applyBorder="1" applyAlignment="1">
      <alignment horizontal="center" vertical="center"/>
    </xf>
    <xf numFmtId="20" fontId="51" fillId="3" borderId="96" xfId="0" applyNumberFormat="1" applyFont="1" applyFill="1" applyBorder="1" applyAlignment="1">
      <alignment horizontal="center" vertical="center"/>
    </xf>
    <xf numFmtId="20" fontId="51" fillId="14" borderId="257" xfId="0" applyNumberFormat="1" applyFont="1" applyFill="1" applyBorder="1" applyAlignment="1">
      <alignment horizontal="center" vertical="center"/>
    </xf>
    <xf numFmtId="20" fontId="48" fillId="28" borderId="96" xfId="0" applyNumberFormat="1" applyFont="1" applyFill="1" applyBorder="1" applyAlignment="1">
      <alignment horizontal="center" vertical="center"/>
    </xf>
    <xf numFmtId="20" fontId="51" fillId="28" borderId="170" xfId="0" applyNumberFormat="1" applyFont="1" applyFill="1" applyBorder="1" applyAlignment="1">
      <alignment horizontal="center" vertical="center"/>
    </xf>
    <xf numFmtId="20" fontId="51" fillId="28" borderId="103" xfId="0" applyNumberFormat="1" applyFont="1" applyFill="1" applyBorder="1" applyAlignment="1">
      <alignment horizontal="center" vertical="center"/>
    </xf>
    <xf numFmtId="20" fontId="51" fillId="14" borderId="256" xfId="0" applyNumberFormat="1" applyFont="1" applyFill="1" applyBorder="1" applyAlignment="1">
      <alignment horizontal="center" vertical="center"/>
    </xf>
    <xf numFmtId="20" fontId="59" fillId="51" borderId="16" xfId="0" applyNumberFormat="1" applyFont="1" applyFill="1" applyBorder="1" applyAlignment="1">
      <alignment horizontal="center" vertical="center"/>
    </xf>
    <xf numFmtId="20" fontId="14" fillId="3" borderId="19" xfId="0" applyNumberFormat="1" applyFont="1" applyFill="1" applyBorder="1" applyAlignment="1">
      <alignment horizontal="center" vertical="center"/>
    </xf>
    <xf numFmtId="20" fontId="44" fillId="36" borderId="16" xfId="0" applyNumberFormat="1" applyFont="1" applyFill="1" applyBorder="1" applyAlignment="1">
      <alignment horizontal="center"/>
    </xf>
    <xf numFmtId="20" fontId="45" fillId="71" borderId="16" xfId="0" applyNumberFormat="1" applyFont="1" applyFill="1" applyBorder="1" applyAlignment="1">
      <alignment horizontal="center"/>
    </xf>
    <xf numFmtId="20" fontId="45" fillId="71" borderId="17" xfId="0" applyNumberFormat="1" applyFont="1" applyFill="1" applyBorder="1" applyAlignment="1">
      <alignment horizontal="center"/>
    </xf>
    <xf numFmtId="16" fontId="12" fillId="3" borderId="0" xfId="0" applyNumberFormat="1" applyFont="1" applyFill="1"/>
    <xf numFmtId="20" fontId="14" fillId="3" borderId="19" xfId="0" applyNumberFormat="1" applyFont="1" applyFill="1" applyBorder="1" applyAlignment="1">
      <alignment horizontal="center"/>
    </xf>
    <xf numFmtId="20" fontId="14" fillId="71" borderId="113" xfId="0" applyNumberFormat="1" applyFont="1" applyFill="1" applyBorder="1" applyAlignment="1">
      <alignment horizontal="center"/>
    </xf>
    <xf numFmtId="20" fontId="14" fillId="71" borderId="117" xfId="0" applyNumberFormat="1" applyFont="1" applyFill="1" applyBorder="1" applyAlignment="1">
      <alignment horizontal="center"/>
    </xf>
    <xf numFmtId="20" fontId="14" fillId="71" borderId="113" xfId="0" applyNumberFormat="1" applyFont="1" applyFill="1" applyBorder="1" applyAlignment="1">
      <alignment horizontal="center" vertical="center"/>
    </xf>
    <xf numFmtId="20" fontId="14" fillId="71" borderId="129" xfId="0" applyNumberFormat="1" applyFont="1" applyFill="1" applyBorder="1" applyAlignment="1">
      <alignment horizontal="center" vertical="center"/>
    </xf>
    <xf numFmtId="20" fontId="14" fillId="71" borderId="101" xfId="0" applyNumberFormat="1" applyFont="1" applyFill="1" applyBorder="1" applyAlignment="1">
      <alignment horizontal="center" vertical="center"/>
    </xf>
    <xf numFmtId="20" fontId="14" fillId="71" borderId="101" xfId="0" applyNumberFormat="1" applyFont="1" applyFill="1" applyBorder="1" applyAlignment="1">
      <alignment horizontal="center"/>
    </xf>
    <xf numFmtId="20" fontId="14" fillId="71" borderId="104" xfId="0" applyNumberFormat="1" applyFont="1" applyFill="1" applyBorder="1" applyAlignment="1">
      <alignment horizontal="center"/>
    </xf>
    <xf numFmtId="20" fontId="14" fillId="71" borderId="61" xfId="0" applyNumberFormat="1" applyFont="1" applyFill="1" applyBorder="1" applyAlignment="1">
      <alignment horizontal="center"/>
    </xf>
    <xf numFmtId="20" fontId="14" fillId="71" borderId="61" xfId="0" applyNumberFormat="1" applyFont="1" applyFill="1" applyBorder="1" applyAlignment="1">
      <alignment horizontal="center" vertical="center"/>
    </xf>
    <xf numFmtId="20" fontId="14" fillId="71" borderId="117" xfId="0" applyNumberFormat="1" applyFont="1" applyFill="1" applyBorder="1" applyAlignment="1">
      <alignment horizontal="center" vertical="center"/>
    </xf>
    <xf numFmtId="20" fontId="14" fillId="71" borderId="210" xfId="0" applyNumberFormat="1" applyFont="1" applyFill="1" applyBorder="1" applyAlignment="1">
      <alignment horizontal="center" vertical="center"/>
    </xf>
    <xf numFmtId="20" fontId="14" fillId="71" borderId="132" xfId="0" applyNumberFormat="1" applyFont="1" applyFill="1" applyBorder="1" applyAlignment="1">
      <alignment horizontal="center" vertical="center"/>
    </xf>
    <xf numFmtId="20" fontId="14" fillId="71" borderId="201" xfId="0" applyNumberFormat="1" applyFont="1" applyFill="1" applyBorder="1" applyAlignment="1">
      <alignment horizontal="center" vertical="center"/>
    </xf>
    <xf numFmtId="20" fontId="14" fillId="3" borderId="47" xfId="0" applyNumberFormat="1" applyFont="1" applyFill="1" applyBorder="1" applyAlignment="1">
      <alignment horizontal="center" vertical="center"/>
    </xf>
    <xf numFmtId="20" fontId="45" fillId="5" borderId="21" xfId="0" applyNumberFormat="1" applyFont="1" applyFill="1" applyBorder="1" applyAlignment="1">
      <alignment horizontal="center"/>
    </xf>
    <xf numFmtId="20" fontId="45" fillId="71" borderId="21" xfId="0" applyNumberFormat="1" applyFont="1" applyFill="1" applyBorder="1" applyAlignment="1">
      <alignment horizontal="center"/>
    </xf>
    <xf numFmtId="20" fontId="45" fillId="71" borderId="22" xfId="0" applyNumberFormat="1" applyFont="1" applyFill="1" applyBorder="1" applyAlignment="1">
      <alignment horizontal="center"/>
    </xf>
    <xf numFmtId="20" fontId="14" fillId="65" borderId="211" xfId="0" applyNumberFormat="1" applyFont="1" applyFill="1" applyBorder="1" applyAlignment="1">
      <alignment horizontal="center"/>
    </xf>
    <xf numFmtId="20" fontId="14" fillId="65" borderId="195" xfId="0" applyNumberFormat="1" applyFont="1" applyFill="1" applyBorder="1" applyAlignment="1">
      <alignment horizontal="center"/>
    </xf>
    <xf numFmtId="20" fontId="44" fillId="25" borderId="195" xfId="0" applyNumberFormat="1" applyFont="1" applyFill="1" applyBorder="1" applyAlignment="1">
      <alignment horizontal="center"/>
    </xf>
    <xf numFmtId="20" fontId="44" fillId="54" borderId="195" xfId="0" applyNumberFormat="1" applyFont="1" applyFill="1" applyBorder="1" applyAlignment="1">
      <alignment horizontal="center"/>
    </xf>
    <xf numFmtId="20" fontId="44" fillId="54" borderId="196" xfId="0" applyNumberFormat="1" applyFont="1" applyFill="1" applyBorder="1" applyAlignment="1">
      <alignment horizontal="center"/>
    </xf>
    <xf numFmtId="20" fontId="44" fillId="25" borderId="61" xfId="0" applyNumberFormat="1" applyFont="1" applyFill="1" applyBorder="1" applyAlignment="1">
      <alignment horizontal="center"/>
    </xf>
    <xf numFmtId="20" fontId="14" fillId="71" borderId="60" xfId="0" applyNumberFormat="1" applyFont="1" applyFill="1" applyBorder="1" applyAlignment="1">
      <alignment horizontal="center"/>
    </xf>
    <xf numFmtId="20" fontId="14" fillId="3" borderId="60" xfId="0" applyNumberFormat="1" applyFont="1" applyFill="1" applyBorder="1" applyAlignment="1">
      <alignment horizontal="center"/>
    </xf>
    <xf numFmtId="20" fontId="14" fillId="3" borderId="50" xfId="0" applyNumberFormat="1" applyFont="1" applyFill="1" applyBorder="1" applyAlignment="1">
      <alignment horizontal="center"/>
    </xf>
    <xf numFmtId="20" fontId="55" fillId="0" borderId="16" xfId="0" applyNumberFormat="1" applyFont="1" applyBorder="1" applyAlignment="1">
      <alignment horizontal="center" vertical="center"/>
    </xf>
    <xf numFmtId="20" fontId="2" fillId="3" borderId="9" xfId="0" applyNumberFormat="1" applyFont="1" applyFill="1" applyBorder="1" applyAlignment="1">
      <alignment horizontal="center" vertical="center"/>
    </xf>
    <xf numFmtId="20" fontId="44" fillId="61" borderId="195" xfId="0" applyNumberFormat="1" applyFont="1" applyFill="1" applyBorder="1" applyAlignment="1">
      <alignment horizontal="center"/>
    </xf>
    <xf numFmtId="20" fontId="14" fillId="61" borderId="113" xfId="0" applyNumberFormat="1" applyFont="1" applyFill="1" applyBorder="1" applyAlignment="1">
      <alignment horizontal="center"/>
    </xf>
    <xf numFmtId="20" fontId="14" fillId="61" borderId="60" xfId="0" applyNumberFormat="1" applyFont="1" applyFill="1" applyBorder="1" applyAlignment="1">
      <alignment horizontal="center" vertical="center"/>
    </xf>
    <xf numFmtId="20" fontId="14" fillId="61" borderId="60" xfId="0" applyNumberFormat="1" applyFont="1" applyFill="1" applyBorder="1" applyAlignment="1">
      <alignment horizontal="center"/>
    </xf>
    <xf numFmtId="20" fontId="14" fillId="61" borderId="102" xfId="0" applyNumberFormat="1" applyFont="1" applyFill="1" applyBorder="1" applyAlignment="1">
      <alignment horizontal="center"/>
    </xf>
    <xf numFmtId="20" fontId="14" fillId="61" borderId="103" xfId="0" applyNumberFormat="1" applyFont="1" applyFill="1" applyBorder="1" applyAlignment="1">
      <alignment horizontal="center"/>
    </xf>
    <xf numFmtId="20" fontId="14" fillId="61" borderId="10" xfId="0" applyNumberFormat="1" applyFont="1" applyFill="1" applyBorder="1" applyAlignment="1">
      <alignment horizontal="center"/>
    </xf>
    <xf numFmtId="20" fontId="14" fillId="61" borderId="11" xfId="0" applyNumberFormat="1" applyFont="1" applyFill="1" applyBorder="1" applyAlignment="1">
      <alignment horizontal="center"/>
    </xf>
    <xf numFmtId="20" fontId="44" fillId="61" borderId="101" xfId="0" applyNumberFormat="1" applyFont="1" applyFill="1" applyBorder="1" applyAlignment="1">
      <alignment horizontal="center"/>
    </xf>
    <xf numFmtId="20" fontId="14" fillId="3" borderId="201" xfId="0" applyNumberFormat="1" applyFont="1" applyFill="1" applyBorder="1" applyAlignment="1">
      <alignment horizontal="center" vertical="center"/>
    </xf>
    <xf numFmtId="20" fontId="14" fillId="61" borderId="158" xfId="0" applyNumberFormat="1" applyFont="1" applyFill="1" applyBorder="1" applyAlignment="1">
      <alignment horizontal="center"/>
    </xf>
    <xf numFmtId="20" fontId="14" fillId="61" borderId="61" xfId="0" applyNumberFormat="1" applyFont="1" applyFill="1" applyBorder="1" applyAlignment="1">
      <alignment horizontal="center" vertical="center"/>
    </xf>
    <xf numFmtId="20" fontId="59" fillId="51" borderId="113" xfId="0" applyNumberFormat="1" applyFont="1" applyFill="1" applyBorder="1" applyAlignment="1">
      <alignment horizontal="center" vertical="center"/>
    </xf>
    <xf numFmtId="0" fontId="32" fillId="29" borderId="113" xfId="0" applyFont="1" applyFill="1" applyBorder="1" applyAlignment="1">
      <alignment horizontal="left" vertical="center"/>
    </xf>
    <xf numFmtId="0" fontId="32" fillId="29" borderId="113" xfId="0" applyFont="1" applyFill="1" applyBorder="1" applyAlignment="1">
      <alignment horizontal="center" vertical="center"/>
    </xf>
    <xf numFmtId="20" fontId="55" fillId="44" borderId="113" xfId="0" applyNumberFormat="1" applyFont="1" applyFill="1" applyBorder="1" applyAlignment="1">
      <alignment horizontal="center" vertical="center"/>
    </xf>
    <xf numFmtId="0" fontId="0" fillId="0" borderId="113" xfId="0" applyBorder="1"/>
    <xf numFmtId="0" fontId="32" fillId="29" borderId="70" xfId="0" applyFont="1" applyFill="1" applyBorder="1" applyAlignment="1">
      <alignment horizontal="left" vertical="center"/>
    </xf>
    <xf numFmtId="0" fontId="32" fillId="29" borderId="106" xfId="0" applyFont="1" applyFill="1" applyBorder="1" applyAlignment="1">
      <alignment horizontal="center" vertical="center"/>
    </xf>
    <xf numFmtId="20" fontId="44" fillId="32" borderId="103" xfId="0" applyNumberFormat="1" applyFont="1" applyFill="1" applyBorder="1" applyAlignment="1">
      <alignment horizontal="center"/>
    </xf>
    <xf numFmtId="20" fontId="44" fillId="32" borderId="170" xfId="0" applyNumberFormat="1" applyFont="1" applyFill="1" applyBorder="1" applyAlignment="1">
      <alignment horizontal="center"/>
    </xf>
    <xf numFmtId="20" fontId="44" fillId="3" borderId="21" xfId="0" applyNumberFormat="1" applyFont="1" applyFill="1" applyBorder="1" applyAlignment="1">
      <alignment horizontal="center" vertical="center"/>
    </xf>
    <xf numFmtId="20" fontId="44" fillId="5" borderId="103" xfId="0" applyNumberFormat="1" applyFont="1" applyFill="1" applyBorder="1" applyAlignment="1">
      <alignment horizontal="center" vertical="center"/>
    </xf>
    <xf numFmtId="20" fontId="14" fillId="3" borderId="21" xfId="0" applyNumberFormat="1" applyFont="1" applyFill="1" applyBorder="1" applyAlignment="1">
      <alignment horizontal="center"/>
    </xf>
    <xf numFmtId="0" fontId="32" fillId="63" borderId="176" xfId="0" applyFont="1" applyFill="1" applyBorder="1" applyAlignment="1">
      <alignment horizontal="left" vertical="center"/>
    </xf>
    <xf numFmtId="0" fontId="32" fillId="63" borderId="88" xfId="0" applyFont="1" applyFill="1" applyBorder="1" applyAlignment="1">
      <alignment horizontal="left" vertical="center"/>
    </xf>
    <xf numFmtId="0" fontId="32" fillId="63" borderId="88" xfId="0" applyFont="1" applyFill="1" applyBorder="1" applyAlignment="1">
      <alignment horizontal="center" vertical="center"/>
    </xf>
    <xf numFmtId="20" fontId="44" fillId="5" borderId="101" xfId="0" applyNumberFormat="1" applyFont="1" applyFill="1" applyBorder="1" applyAlignment="1">
      <alignment horizontal="center" vertical="center"/>
    </xf>
    <xf numFmtId="20" fontId="14" fillId="19" borderId="113" xfId="0" applyNumberFormat="1" applyFont="1" applyFill="1" applyBorder="1" applyAlignment="1">
      <alignment horizontal="center"/>
    </xf>
    <xf numFmtId="20" fontId="44" fillId="54" borderId="26" xfId="0" applyNumberFormat="1" applyFont="1" applyFill="1" applyBorder="1" applyAlignment="1">
      <alignment horizontal="center"/>
    </xf>
    <xf numFmtId="20" fontId="45" fillId="5" borderId="31" xfId="0" applyNumberFormat="1" applyFont="1" applyFill="1" applyBorder="1" applyAlignment="1">
      <alignment horizontal="center"/>
    </xf>
    <xf numFmtId="20" fontId="14" fillId="5" borderId="143" xfId="0" applyNumberFormat="1" applyFont="1" applyFill="1" applyBorder="1" applyAlignment="1">
      <alignment horizontal="center"/>
    </xf>
    <xf numFmtId="20" fontId="14" fillId="5" borderId="143" xfId="0" applyNumberFormat="1" applyFont="1" applyFill="1" applyBorder="1" applyAlignment="1">
      <alignment horizontal="center" vertical="center"/>
    </xf>
    <xf numFmtId="20" fontId="44" fillId="70" borderId="31" xfId="0" applyNumberFormat="1" applyFont="1" applyFill="1" applyBorder="1" applyAlignment="1">
      <alignment horizontal="center"/>
    </xf>
    <xf numFmtId="20" fontId="14" fillId="5" borderId="170" xfId="0" applyNumberFormat="1" applyFont="1" applyFill="1" applyBorder="1" applyAlignment="1">
      <alignment horizontal="center" vertical="center"/>
    </xf>
    <xf numFmtId="20" fontId="44" fillId="5" borderId="49" xfId="0" applyNumberFormat="1" applyFont="1" applyFill="1" applyBorder="1" applyAlignment="1">
      <alignment horizontal="center"/>
    </xf>
    <xf numFmtId="20" fontId="46" fillId="3" borderId="50" xfId="0" applyNumberFormat="1" applyFont="1" applyFill="1" applyBorder="1" applyAlignment="1">
      <alignment horizontal="center" vertical="center"/>
    </xf>
    <xf numFmtId="0" fontId="3" fillId="32" borderId="2" xfId="0" applyFont="1" applyFill="1" applyBorder="1" applyAlignment="1">
      <alignment horizontal="center" vertical="center"/>
    </xf>
    <xf numFmtId="0" fontId="2" fillId="2" borderId="125" xfId="0" applyFont="1" applyFill="1" applyBorder="1" applyAlignment="1">
      <alignment horizontal="center"/>
    </xf>
    <xf numFmtId="0" fontId="0" fillId="0" borderId="123" xfId="0" applyBorder="1"/>
    <xf numFmtId="0" fontId="2" fillId="2" borderId="261" xfId="0" applyFont="1" applyFill="1" applyBorder="1" applyAlignment="1">
      <alignment horizontal="center" vertical="center"/>
    </xf>
    <xf numFmtId="0" fontId="43" fillId="32" borderId="261" xfId="0" applyFont="1" applyFill="1" applyBorder="1" applyAlignment="1">
      <alignment horizontal="left" vertical="center"/>
    </xf>
    <xf numFmtId="20" fontId="14" fillId="3" borderId="207" xfId="0" applyNumberFormat="1" applyFont="1" applyFill="1" applyBorder="1" applyAlignment="1">
      <alignment horizontal="center"/>
    </xf>
    <xf numFmtId="0" fontId="32" fillId="32" borderId="118" xfId="0" applyFont="1" applyFill="1" applyBorder="1" applyAlignment="1">
      <alignment horizontal="left" vertical="center"/>
    </xf>
    <xf numFmtId="0" fontId="32" fillId="29" borderId="118" xfId="0" applyFont="1" applyFill="1" applyBorder="1" applyAlignment="1">
      <alignment horizontal="left" vertical="center"/>
    </xf>
    <xf numFmtId="0" fontId="32" fillId="63" borderId="118" xfId="0" applyFont="1" applyFill="1" applyBorder="1" applyAlignment="1">
      <alignment horizontal="left" vertical="center"/>
    </xf>
    <xf numFmtId="0" fontId="32" fillId="63" borderId="184" xfId="0" applyFont="1" applyFill="1" applyBorder="1" applyAlignment="1">
      <alignment horizontal="left" vertical="center"/>
    </xf>
    <xf numFmtId="20" fontId="46" fillId="3" borderId="179" xfId="0" applyNumberFormat="1" applyFont="1" applyFill="1" applyBorder="1" applyAlignment="1">
      <alignment horizontal="center" vertical="center"/>
    </xf>
    <xf numFmtId="20" fontId="44" fillId="15" borderId="179" xfId="0" applyNumberFormat="1" applyFont="1" applyFill="1" applyBorder="1" applyAlignment="1">
      <alignment horizontal="center" vertical="center"/>
    </xf>
    <xf numFmtId="20" fontId="46" fillId="3" borderId="180" xfId="0" applyNumberFormat="1" applyFont="1" applyFill="1" applyBorder="1" applyAlignment="1">
      <alignment horizontal="center" vertical="center"/>
    </xf>
    <xf numFmtId="20" fontId="14" fillId="3" borderId="170" xfId="0" applyNumberFormat="1" applyFont="1" applyFill="1" applyBorder="1" applyAlignment="1">
      <alignment horizontal="center"/>
    </xf>
    <xf numFmtId="0" fontId="3" fillId="32" borderId="29" xfId="0" applyFont="1" applyFill="1" applyBorder="1" applyAlignment="1">
      <alignment horizontal="center" vertical="center"/>
    </xf>
    <xf numFmtId="0" fontId="3" fillId="32" borderId="36" xfId="0" applyFont="1" applyFill="1" applyBorder="1" applyAlignment="1">
      <alignment horizontal="center" vertical="center"/>
    </xf>
    <xf numFmtId="0" fontId="3" fillId="32" borderId="52" xfId="0" applyFont="1" applyFill="1" applyBorder="1" applyAlignment="1">
      <alignment horizontal="center" vertical="center"/>
    </xf>
    <xf numFmtId="0" fontId="43" fillId="32" borderId="118" xfId="0" applyFont="1" applyFill="1" applyBorder="1" applyAlignment="1">
      <alignment horizontal="left" vertical="center"/>
    </xf>
    <xf numFmtId="0" fontId="3" fillId="32" borderId="118" xfId="0" applyFont="1" applyFill="1" applyBorder="1" applyAlignment="1">
      <alignment horizontal="left" vertical="center"/>
    </xf>
    <xf numFmtId="20" fontId="55" fillId="5" borderId="7" xfId="0" applyNumberFormat="1" applyFont="1" applyFill="1" applyBorder="1" applyAlignment="1">
      <alignment horizontal="center" vertical="center"/>
    </xf>
    <xf numFmtId="20" fontId="55" fillId="0" borderId="8" xfId="0" applyNumberFormat="1" applyFont="1" applyBorder="1" applyAlignment="1">
      <alignment horizontal="center" vertical="center"/>
    </xf>
    <xf numFmtId="20" fontId="2" fillId="59" borderId="15" xfId="0" applyNumberFormat="1" applyFont="1" applyFill="1" applyBorder="1" applyAlignment="1">
      <alignment horizontal="center" vertical="center"/>
    </xf>
    <xf numFmtId="20" fontId="2" fillId="59" borderId="17" xfId="0" applyNumberFormat="1" applyFont="1" applyFill="1" applyBorder="1" applyAlignment="1">
      <alignment horizontal="center" vertical="center"/>
    </xf>
    <xf numFmtId="20" fontId="55" fillId="0" borderId="17" xfId="0" applyNumberFormat="1" applyFont="1" applyBorder="1" applyAlignment="1">
      <alignment horizontal="center" vertical="center"/>
    </xf>
    <xf numFmtId="20" fontId="2" fillId="52" borderId="11" xfId="0" applyNumberFormat="1" applyFont="1" applyFill="1" applyBorder="1" applyAlignment="1">
      <alignment horizontal="center" vertical="center"/>
    </xf>
    <xf numFmtId="20" fontId="2" fillId="52" borderId="12" xfId="0" applyNumberFormat="1" applyFont="1" applyFill="1" applyBorder="1" applyAlignment="1">
      <alignment horizontal="center" vertical="center"/>
    </xf>
    <xf numFmtId="20" fontId="48" fillId="59" borderId="118" xfId="0" applyNumberFormat="1" applyFont="1" applyFill="1" applyBorder="1" applyAlignment="1">
      <alignment horizontal="center" vertical="center"/>
    </xf>
    <xf numFmtId="20" fontId="48" fillId="3" borderId="152" xfId="0" applyNumberFormat="1" applyFont="1" applyFill="1" applyBorder="1" applyAlignment="1">
      <alignment horizontal="center" vertical="center"/>
    </xf>
    <xf numFmtId="20" fontId="48" fillId="3" borderId="97" xfId="0" applyNumberFormat="1" applyFont="1" applyFill="1" applyBorder="1" applyAlignment="1">
      <alignment horizontal="center" vertical="center"/>
    </xf>
    <xf numFmtId="20" fontId="48" fillId="8" borderId="152" xfId="0" applyNumberFormat="1" applyFont="1" applyFill="1" applyBorder="1" applyAlignment="1">
      <alignment horizontal="center" vertical="center"/>
    </xf>
    <xf numFmtId="20" fontId="48" fillId="8" borderId="97" xfId="0" applyNumberFormat="1" applyFont="1" applyFill="1" applyBorder="1" applyAlignment="1">
      <alignment horizontal="center" vertical="center"/>
    </xf>
    <xf numFmtId="20" fontId="48" fillId="3" borderId="153" xfId="0" applyNumberFormat="1" applyFont="1" applyFill="1" applyBorder="1" applyAlignment="1">
      <alignment horizontal="center" vertical="center"/>
    </xf>
    <xf numFmtId="20" fontId="48" fillId="5" borderId="152" xfId="0" applyNumberFormat="1" applyFont="1" applyFill="1" applyBorder="1" applyAlignment="1">
      <alignment horizontal="center" vertical="center"/>
    </xf>
    <xf numFmtId="20" fontId="48" fillId="5" borderId="97" xfId="0" applyNumberFormat="1" applyFont="1" applyFill="1" applyBorder="1" applyAlignment="1">
      <alignment horizontal="center" vertical="center"/>
    </xf>
    <xf numFmtId="20" fontId="48" fillId="5" borderId="153" xfId="0" applyNumberFormat="1" applyFont="1" applyFill="1" applyBorder="1" applyAlignment="1">
      <alignment horizontal="center" vertical="center"/>
    </xf>
    <xf numFmtId="0" fontId="51" fillId="67" borderId="0" xfId="1" applyFont="1" applyFill="1" applyAlignment="1">
      <alignment horizontal="left" vertical="center"/>
    </xf>
    <xf numFmtId="0" fontId="50" fillId="67" borderId="0" xfId="0" applyFont="1" applyFill="1" applyAlignment="1">
      <alignment horizontal="center"/>
    </xf>
    <xf numFmtId="20" fontId="48" fillId="3" borderId="0" xfId="0" applyNumberFormat="1" applyFont="1" applyFill="1" applyAlignment="1">
      <alignment horizontal="center" vertical="center"/>
    </xf>
    <xf numFmtId="20" fontId="51" fillId="3" borderId="152" xfId="0" applyNumberFormat="1" applyFont="1" applyFill="1" applyBorder="1" applyAlignment="1">
      <alignment horizontal="center" vertical="center"/>
    </xf>
    <xf numFmtId="20" fontId="51" fillId="3" borderId="97" xfId="0" applyNumberFormat="1" applyFont="1" applyFill="1" applyBorder="1" applyAlignment="1">
      <alignment horizontal="center" vertical="center"/>
    </xf>
    <xf numFmtId="20" fontId="51" fillId="5" borderId="97" xfId="0" applyNumberFormat="1" applyFont="1" applyFill="1" applyBorder="1" applyAlignment="1">
      <alignment horizontal="center" vertical="center"/>
    </xf>
    <xf numFmtId="0" fontId="50" fillId="14" borderId="215" xfId="0" applyFont="1" applyFill="1" applyBorder="1" applyAlignment="1">
      <alignment horizontal="center"/>
    </xf>
    <xf numFmtId="0" fontId="51" fillId="14" borderId="0" xfId="1" applyFont="1" applyFill="1" applyAlignment="1">
      <alignment horizontal="left"/>
    </xf>
    <xf numFmtId="20" fontId="48" fillId="3" borderId="262" xfId="0" applyNumberFormat="1" applyFont="1" applyFill="1" applyBorder="1" applyAlignment="1">
      <alignment horizontal="center" vertical="center"/>
    </xf>
    <xf numFmtId="20" fontId="48" fillId="28" borderId="262" xfId="0" applyNumberFormat="1" applyFont="1" applyFill="1" applyBorder="1" applyAlignment="1">
      <alignment horizontal="center" vertical="center"/>
    </xf>
    <xf numFmtId="20" fontId="48" fillId="28" borderId="97" xfId="0" applyNumberFormat="1" applyFont="1" applyFill="1" applyBorder="1" applyAlignment="1">
      <alignment horizontal="center" vertical="center"/>
    </xf>
    <xf numFmtId="20" fontId="51" fillId="3" borderId="263" xfId="0" applyNumberFormat="1" applyFont="1" applyFill="1" applyBorder="1" applyAlignment="1">
      <alignment horizontal="center" vertical="center"/>
    </xf>
    <xf numFmtId="20" fontId="51" fillId="3" borderId="264" xfId="0" applyNumberFormat="1" applyFont="1" applyFill="1" applyBorder="1" applyAlignment="1">
      <alignment horizontal="center" vertical="center"/>
    </xf>
    <xf numFmtId="20" fontId="48" fillId="3" borderId="264" xfId="0" applyNumberFormat="1" applyFont="1" applyFill="1" applyBorder="1" applyAlignment="1">
      <alignment horizontal="center" vertical="center"/>
    </xf>
    <xf numFmtId="20" fontId="51" fillId="5" borderId="264" xfId="0" applyNumberFormat="1" applyFont="1" applyFill="1" applyBorder="1" applyAlignment="1">
      <alignment horizontal="center" vertical="center"/>
    </xf>
    <xf numFmtId="20" fontId="51" fillId="3" borderId="265" xfId="0" applyNumberFormat="1" applyFont="1" applyFill="1" applyBorder="1" applyAlignment="1">
      <alignment horizontal="center" vertical="center"/>
    </xf>
    <xf numFmtId="20" fontId="48" fillId="5" borderId="170" xfId="0" applyNumberFormat="1" applyFont="1" applyFill="1" applyBorder="1" applyAlignment="1">
      <alignment horizontal="center" vertical="center"/>
    </xf>
    <xf numFmtId="20" fontId="48" fillId="3" borderId="263" xfId="0" applyNumberFormat="1" applyFont="1" applyFill="1" applyBorder="1" applyAlignment="1">
      <alignment horizontal="center" vertical="center"/>
    </xf>
    <xf numFmtId="20" fontId="48" fillId="30" borderId="264" xfId="0" applyNumberFormat="1" applyFont="1" applyFill="1" applyBorder="1" applyAlignment="1">
      <alignment horizontal="center" vertical="center"/>
    </xf>
    <xf numFmtId="20" fontId="48" fillId="30" borderId="266" xfId="0" applyNumberFormat="1" applyFont="1" applyFill="1" applyBorder="1" applyAlignment="1">
      <alignment horizontal="center" vertical="center"/>
    </xf>
    <xf numFmtId="20" fontId="48" fillId="30" borderId="268" xfId="0" applyNumberFormat="1" applyFont="1" applyFill="1" applyBorder="1" applyAlignment="1">
      <alignment horizontal="center" vertical="center"/>
    </xf>
    <xf numFmtId="20" fontId="48" fillId="30" borderId="263" xfId="0" applyNumberFormat="1" applyFont="1" applyFill="1" applyBorder="1" applyAlignment="1">
      <alignment horizontal="center" vertical="center"/>
    </xf>
    <xf numFmtId="20" fontId="51" fillId="30" borderId="263" xfId="0" applyNumberFormat="1" applyFont="1" applyFill="1" applyBorder="1" applyAlignment="1">
      <alignment horizontal="center" vertical="center"/>
    </xf>
    <xf numFmtId="20" fontId="51" fillId="30" borderId="264" xfId="0" applyNumberFormat="1" applyFont="1" applyFill="1" applyBorder="1" applyAlignment="1">
      <alignment horizontal="center" vertical="center"/>
    </xf>
    <xf numFmtId="20" fontId="48" fillId="36" borderId="264" xfId="0" applyNumberFormat="1" applyFont="1" applyFill="1" applyBorder="1" applyAlignment="1">
      <alignment horizontal="center" vertical="center"/>
    </xf>
    <xf numFmtId="20" fontId="51" fillId="28" borderId="264" xfId="0" applyNumberFormat="1" applyFont="1" applyFill="1" applyBorder="1" applyAlignment="1">
      <alignment horizontal="center" vertical="center"/>
    </xf>
    <xf numFmtId="20" fontId="51" fillId="28" borderId="265" xfId="0" applyNumberFormat="1" applyFont="1" applyFill="1" applyBorder="1" applyAlignment="1">
      <alignment horizontal="center" vertical="center"/>
    </xf>
    <xf numFmtId="20" fontId="48" fillId="3" borderId="268" xfId="0" applyNumberFormat="1" applyFont="1" applyFill="1" applyBorder="1" applyAlignment="1">
      <alignment horizontal="center" vertical="center"/>
    </xf>
    <xf numFmtId="20" fontId="48" fillId="67" borderId="101" xfId="0" applyNumberFormat="1" applyFont="1" applyFill="1" applyBorder="1" applyAlignment="1">
      <alignment horizontal="center" vertical="center"/>
    </xf>
    <xf numFmtId="20" fontId="44" fillId="25" borderId="143" xfId="0" applyNumberFormat="1" applyFont="1" applyFill="1" applyBorder="1" applyAlignment="1">
      <alignment horizontal="center"/>
    </xf>
    <xf numFmtId="20" fontId="44" fillId="36" borderId="143" xfId="0" applyNumberFormat="1" applyFont="1" applyFill="1" applyBorder="1" applyAlignment="1">
      <alignment horizontal="center"/>
    </xf>
    <xf numFmtId="20" fontId="45" fillId="5" borderId="143" xfId="0" applyNumberFormat="1" applyFont="1" applyFill="1" applyBorder="1" applyAlignment="1">
      <alignment horizontal="center"/>
    </xf>
    <xf numFmtId="20" fontId="44" fillId="54" borderId="143" xfId="0" applyNumberFormat="1" applyFont="1" applyFill="1" applyBorder="1" applyAlignment="1">
      <alignment horizontal="center"/>
    </xf>
    <xf numFmtId="20" fontId="44" fillId="3" borderId="143" xfId="0" applyNumberFormat="1" applyFont="1" applyFill="1" applyBorder="1" applyAlignment="1">
      <alignment horizontal="center" vertical="center"/>
    </xf>
    <xf numFmtId="20" fontId="44" fillId="5" borderId="101" xfId="0" applyNumberFormat="1" applyFont="1" applyFill="1" applyBorder="1" applyAlignment="1">
      <alignment horizontal="center"/>
    </xf>
    <xf numFmtId="20" fontId="44" fillId="5" borderId="271" xfId="0" applyNumberFormat="1" applyFont="1" applyFill="1" applyBorder="1" applyAlignment="1">
      <alignment horizontal="center"/>
    </xf>
    <xf numFmtId="20" fontId="45" fillId="5" borderId="60" xfId="0" applyNumberFormat="1" applyFont="1" applyFill="1" applyBorder="1" applyAlignment="1">
      <alignment horizontal="center"/>
    </xf>
    <xf numFmtId="20" fontId="44" fillId="3" borderId="60" xfId="0" applyNumberFormat="1" applyFont="1" applyFill="1" applyBorder="1" applyAlignment="1">
      <alignment horizontal="center"/>
    </xf>
    <xf numFmtId="20" fontId="44" fillId="25" borderId="60" xfId="0" applyNumberFormat="1" applyFont="1" applyFill="1" applyBorder="1" applyAlignment="1">
      <alignment horizontal="center"/>
    </xf>
    <xf numFmtId="20" fontId="14" fillId="3" borderId="200" xfId="0" applyNumberFormat="1" applyFont="1" applyFill="1" applyBorder="1" applyAlignment="1">
      <alignment horizontal="center" vertical="center"/>
    </xf>
    <xf numFmtId="20" fontId="14" fillId="61" borderId="132" xfId="0" applyNumberFormat="1" applyFont="1" applyFill="1" applyBorder="1" applyAlignment="1">
      <alignment horizontal="center" vertical="center"/>
    </xf>
    <xf numFmtId="0" fontId="3" fillId="32" borderId="143" xfId="0" applyFont="1" applyFill="1" applyBorder="1" applyAlignment="1">
      <alignment horizontal="center" vertical="center"/>
    </xf>
    <xf numFmtId="20" fontId="44" fillId="54" borderId="211" xfId="0" applyNumberFormat="1" applyFont="1" applyFill="1" applyBorder="1" applyAlignment="1">
      <alignment horizontal="center"/>
    </xf>
    <xf numFmtId="20" fontId="45" fillId="5" borderId="195" xfId="0" applyNumberFormat="1" applyFont="1" applyFill="1" applyBorder="1" applyAlignment="1">
      <alignment horizontal="center"/>
    </xf>
    <xf numFmtId="20" fontId="45" fillId="5" borderId="61" xfId="0" applyNumberFormat="1" applyFont="1" applyFill="1" applyBorder="1" applyAlignment="1">
      <alignment horizontal="center"/>
    </xf>
    <xf numFmtId="20" fontId="44" fillId="25" borderId="273" xfId="0" applyNumberFormat="1" applyFont="1" applyFill="1" applyBorder="1" applyAlignment="1">
      <alignment horizontal="center"/>
    </xf>
    <xf numFmtId="20" fontId="14" fillId="3" borderId="204" xfId="0" applyNumberFormat="1" applyFont="1" applyFill="1" applyBorder="1" applyAlignment="1">
      <alignment horizontal="center" vertical="center"/>
    </xf>
    <xf numFmtId="0" fontId="3" fillId="29" borderId="143" xfId="0" applyFont="1" applyFill="1" applyBorder="1" applyAlignment="1">
      <alignment horizontal="center" vertical="center"/>
    </xf>
    <xf numFmtId="0" fontId="32" fillId="29" borderId="143" xfId="0" applyFont="1" applyFill="1" applyBorder="1" applyAlignment="1">
      <alignment horizontal="center" vertical="center"/>
    </xf>
    <xf numFmtId="20" fontId="14" fillId="61" borderId="117" xfId="0" applyNumberFormat="1" applyFont="1" applyFill="1" applyBorder="1" applyAlignment="1">
      <alignment horizontal="center" vertical="center"/>
    </xf>
    <xf numFmtId="20" fontId="14" fillId="3" borderId="211" xfId="0" applyNumberFormat="1" applyFont="1" applyFill="1" applyBorder="1" applyAlignment="1">
      <alignment horizontal="center"/>
    </xf>
    <xf numFmtId="20" fontId="14" fillId="3" borderId="195" xfId="0" applyNumberFormat="1" applyFont="1" applyFill="1" applyBorder="1" applyAlignment="1">
      <alignment horizontal="center"/>
    </xf>
    <xf numFmtId="20" fontId="14" fillId="61" borderId="200" xfId="0" applyNumberFormat="1" applyFont="1" applyFill="1" applyBorder="1" applyAlignment="1">
      <alignment horizontal="center"/>
    </xf>
    <xf numFmtId="20" fontId="14" fillId="61" borderId="132" xfId="0" applyNumberFormat="1" applyFont="1" applyFill="1" applyBorder="1" applyAlignment="1">
      <alignment horizontal="center"/>
    </xf>
    <xf numFmtId="20" fontId="14" fillId="19" borderId="132" xfId="0" applyNumberFormat="1" applyFont="1" applyFill="1" applyBorder="1" applyAlignment="1">
      <alignment horizontal="center"/>
    </xf>
    <xf numFmtId="0" fontId="32" fillId="63" borderId="143" xfId="0" applyFont="1" applyFill="1" applyBorder="1" applyAlignment="1">
      <alignment horizontal="center" vertical="center"/>
    </xf>
    <xf numFmtId="0" fontId="32" fillId="63" borderId="274" xfId="0" applyFont="1" applyFill="1" applyBorder="1" applyAlignment="1">
      <alignment horizontal="center" vertical="center"/>
    </xf>
    <xf numFmtId="20" fontId="44" fillId="3" borderId="129" xfId="0" applyNumberFormat="1" applyFont="1" applyFill="1" applyBorder="1" applyAlignment="1">
      <alignment horizontal="center"/>
    </xf>
    <xf numFmtId="20" fontId="44" fillId="15" borderId="275" xfId="0" applyNumberFormat="1" applyFont="1" applyFill="1" applyBorder="1" applyAlignment="1">
      <alignment horizontal="center" vertical="center"/>
    </xf>
    <xf numFmtId="20" fontId="44" fillId="3" borderId="155" xfId="0" applyNumberFormat="1" applyFont="1" applyFill="1" applyBorder="1" applyAlignment="1">
      <alignment horizontal="center"/>
    </xf>
    <xf numFmtId="20" fontId="44" fillId="5" borderId="104" xfId="0" applyNumberFormat="1" applyFont="1" applyFill="1" applyBorder="1" applyAlignment="1">
      <alignment horizontal="center" vertical="center"/>
    </xf>
    <xf numFmtId="20" fontId="46" fillId="3" borderId="200" xfId="0" applyNumberFormat="1" applyFont="1" applyFill="1" applyBorder="1" applyAlignment="1">
      <alignment horizontal="center" vertical="center"/>
    </xf>
    <xf numFmtId="20" fontId="46" fillId="3" borderId="132" xfId="0" applyNumberFormat="1" applyFont="1" applyFill="1" applyBorder="1" applyAlignment="1">
      <alignment horizontal="center" vertical="center"/>
    </xf>
    <xf numFmtId="20" fontId="44" fillId="15" borderId="132" xfId="0" applyNumberFormat="1" applyFont="1" applyFill="1" applyBorder="1" applyAlignment="1">
      <alignment horizontal="center" vertical="center"/>
    </xf>
    <xf numFmtId="20" fontId="44" fillId="5" borderId="201" xfId="0" applyNumberFormat="1" applyFont="1" applyFill="1" applyBorder="1" applyAlignment="1">
      <alignment horizontal="center" vertical="center"/>
    </xf>
    <xf numFmtId="20" fontId="44" fillId="3" borderId="273" xfId="0" applyNumberFormat="1" applyFont="1" applyFill="1" applyBorder="1" applyAlignment="1">
      <alignment horizontal="center"/>
    </xf>
    <xf numFmtId="20" fontId="44" fillId="5" borderId="154" xfId="0" applyNumberFormat="1" applyFont="1" applyFill="1" applyBorder="1" applyAlignment="1">
      <alignment horizontal="center" vertical="center"/>
    </xf>
    <xf numFmtId="20" fontId="44" fillId="15" borderId="204" xfId="0" applyNumberFormat="1" applyFont="1" applyFill="1" applyBorder="1" applyAlignment="1">
      <alignment horizontal="center" vertical="center"/>
    </xf>
    <xf numFmtId="20" fontId="44" fillId="54" borderId="276" xfId="0" applyNumberFormat="1" applyFont="1" applyFill="1" applyBorder="1" applyAlignment="1">
      <alignment horizontal="center"/>
    </xf>
    <xf numFmtId="20" fontId="14" fillId="61" borderId="158" xfId="0" applyNumberFormat="1" applyFont="1" applyFill="1" applyBorder="1" applyAlignment="1">
      <alignment horizontal="center" vertical="center"/>
    </xf>
    <xf numFmtId="20" fontId="14" fillId="3" borderId="277" xfId="0" applyNumberFormat="1" applyFont="1" applyFill="1" applyBorder="1" applyAlignment="1">
      <alignment horizontal="center" vertical="center"/>
    </xf>
    <xf numFmtId="20" fontId="44" fillId="5" borderId="159" xfId="0" applyNumberFormat="1" applyFont="1" applyFill="1" applyBorder="1" applyAlignment="1">
      <alignment horizontal="center" vertical="center"/>
    </xf>
    <xf numFmtId="20" fontId="44" fillId="5" borderId="277" xfId="0" applyNumberFormat="1" applyFont="1" applyFill="1" applyBorder="1" applyAlignment="1">
      <alignment horizontal="center" vertical="center"/>
    </xf>
    <xf numFmtId="20" fontId="14" fillId="3" borderId="276" xfId="0" applyNumberFormat="1" applyFont="1" applyFill="1" applyBorder="1" applyAlignment="1">
      <alignment horizontal="center" vertical="center"/>
    </xf>
    <xf numFmtId="20" fontId="45" fillId="5" borderId="158" xfId="0" applyNumberFormat="1" applyFont="1" applyFill="1" applyBorder="1" applyAlignment="1">
      <alignment horizontal="center"/>
    </xf>
    <xf numFmtId="20" fontId="45" fillId="71" borderId="158" xfId="0" applyNumberFormat="1" applyFont="1" applyFill="1" applyBorder="1" applyAlignment="1">
      <alignment horizontal="center"/>
    </xf>
    <xf numFmtId="20" fontId="44" fillId="3" borderId="272" xfId="0" applyNumberFormat="1" applyFont="1" applyFill="1" applyBorder="1" applyAlignment="1">
      <alignment horizontal="center"/>
    </xf>
    <xf numFmtId="20" fontId="44" fillId="54" borderId="117" xfId="0" applyNumberFormat="1" applyFont="1" applyFill="1" applyBorder="1" applyAlignment="1">
      <alignment horizontal="center"/>
    </xf>
    <xf numFmtId="20" fontId="14" fillId="61" borderId="278" xfId="0" applyNumberFormat="1" applyFont="1" applyFill="1" applyBorder="1" applyAlignment="1">
      <alignment horizontal="center" vertical="center"/>
    </xf>
    <xf numFmtId="20" fontId="14" fillId="61" borderId="197" xfId="0" applyNumberFormat="1" applyFont="1" applyFill="1" applyBorder="1" applyAlignment="1">
      <alignment horizontal="center" vertical="center"/>
    </xf>
    <xf numFmtId="20" fontId="45" fillId="19" borderId="197" xfId="0" applyNumberFormat="1" applyFont="1" applyFill="1" applyBorder="1" applyAlignment="1">
      <alignment horizontal="center"/>
    </xf>
    <xf numFmtId="20" fontId="14" fillId="3" borderId="197" xfId="0" applyNumberFormat="1" applyFont="1" applyFill="1" applyBorder="1" applyAlignment="1">
      <alignment horizontal="center" vertical="center"/>
    </xf>
    <xf numFmtId="20" fontId="14" fillId="3" borderId="279" xfId="0" applyNumberFormat="1" applyFont="1" applyFill="1" applyBorder="1" applyAlignment="1">
      <alignment horizontal="center" vertical="center"/>
    </xf>
    <xf numFmtId="20" fontId="45" fillId="61" borderId="278" xfId="0" applyNumberFormat="1" applyFont="1" applyFill="1" applyBorder="1" applyAlignment="1">
      <alignment horizontal="center"/>
    </xf>
    <xf numFmtId="20" fontId="45" fillId="61" borderId="197" xfId="0" applyNumberFormat="1" applyFont="1" applyFill="1" applyBorder="1" applyAlignment="1">
      <alignment horizontal="center"/>
    </xf>
    <xf numFmtId="20" fontId="14" fillId="3" borderId="196" xfId="0" applyNumberFormat="1" applyFont="1" applyFill="1" applyBorder="1" applyAlignment="1">
      <alignment horizontal="center" vertical="center"/>
    </xf>
    <xf numFmtId="20" fontId="45" fillId="71" borderId="61" xfId="0" applyNumberFormat="1" applyFont="1" applyFill="1" applyBorder="1" applyAlignment="1">
      <alignment horizontal="center"/>
    </xf>
    <xf numFmtId="20" fontId="44" fillId="25" borderId="132" xfId="0" applyNumberFormat="1" applyFont="1" applyFill="1" applyBorder="1" applyAlignment="1">
      <alignment horizontal="center"/>
    </xf>
    <xf numFmtId="20" fontId="44" fillId="25" borderId="204" xfId="0" applyNumberFormat="1" applyFont="1" applyFill="1" applyBorder="1" applyAlignment="1">
      <alignment horizontal="center"/>
    </xf>
    <xf numFmtId="20" fontId="45" fillId="71" borderId="277" xfId="0" applyNumberFormat="1" applyFont="1" applyFill="1" applyBorder="1" applyAlignment="1">
      <alignment horizontal="center"/>
    </xf>
    <xf numFmtId="20" fontId="45" fillId="71" borderId="201" xfId="0" applyNumberFormat="1" applyFont="1" applyFill="1" applyBorder="1" applyAlignment="1">
      <alignment horizontal="center"/>
    </xf>
    <xf numFmtId="20" fontId="51" fillId="72" borderId="154" xfId="0" applyNumberFormat="1" applyFont="1" applyFill="1" applyBorder="1" applyAlignment="1">
      <alignment horizontal="center" vertical="center"/>
    </xf>
    <xf numFmtId="20" fontId="51" fillId="72" borderId="101" xfId="0" applyNumberFormat="1" applyFont="1" applyFill="1" applyBorder="1" applyAlignment="1">
      <alignment horizontal="center" vertical="center"/>
    </xf>
    <xf numFmtId="20" fontId="48" fillId="72" borderId="143" xfId="0" applyNumberFormat="1" applyFont="1" applyFill="1" applyBorder="1" applyAlignment="1">
      <alignment horizontal="center" vertical="center"/>
    </xf>
    <xf numFmtId="20" fontId="48" fillId="72" borderId="113" xfId="0" applyNumberFormat="1" applyFont="1" applyFill="1" applyBorder="1" applyAlignment="1">
      <alignment horizontal="center" vertical="center"/>
    </xf>
    <xf numFmtId="20" fontId="51" fillId="5" borderId="234" xfId="0" applyNumberFormat="1" applyFont="1" applyFill="1" applyBorder="1" applyAlignment="1">
      <alignment horizontal="center" vertical="center"/>
    </xf>
    <xf numFmtId="20" fontId="48" fillId="5" borderId="143" xfId="0" applyNumberFormat="1" applyFont="1" applyFill="1" applyBorder="1" applyAlignment="1">
      <alignment horizontal="center" vertical="center"/>
    </xf>
    <xf numFmtId="20" fontId="48" fillId="5" borderId="265" xfId="0" applyNumberFormat="1" applyFont="1" applyFill="1" applyBorder="1" applyAlignment="1">
      <alignment horizontal="center" vertical="center"/>
    </xf>
    <xf numFmtId="20" fontId="48" fillId="5" borderId="264" xfId="0" applyNumberFormat="1" applyFont="1" applyFill="1" applyBorder="1" applyAlignment="1">
      <alignment horizontal="center" vertical="center"/>
    </xf>
    <xf numFmtId="20" fontId="51" fillId="5" borderId="117" xfId="0" applyNumberFormat="1" applyFont="1" applyFill="1" applyBorder="1" applyAlignment="1">
      <alignment horizontal="center" vertical="center"/>
    </xf>
    <xf numFmtId="20" fontId="48" fillId="3" borderId="264" xfId="0" applyNumberFormat="1" applyFont="1" applyFill="1" applyBorder="1" applyAlignment="1">
      <alignment horizontal="center"/>
    </xf>
    <xf numFmtId="0" fontId="51" fillId="14" borderId="280" xfId="1" applyFont="1" applyFill="1" applyBorder="1" applyAlignment="1">
      <alignment horizontal="left"/>
    </xf>
    <xf numFmtId="20" fontId="48" fillId="59" borderId="264" xfId="0" applyNumberFormat="1" applyFont="1" applyFill="1" applyBorder="1" applyAlignment="1">
      <alignment horizontal="center" vertical="center"/>
    </xf>
    <xf numFmtId="20" fontId="51" fillId="5" borderId="154" xfId="0" applyNumberFormat="1" applyFont="1" applyFill="1" applyBorder="1" applyAlignment="1">
      <alignment horizontal="center" vertical="center"/>
    </xf>
    <xf numFmtId="0" fontId="51" fillId="67" borderId="282" xfId="1" applyFont="1" applyFill="1" applyBorder="1" applyAlignment="1">
      <alignment horizontal="left" vertical="center"/>
    </xf>
    <xf numFmtId="0" fontId="48" fillId="67" borderId="283" xfId="0" applyFont="1" applyFill="1" applyBorder="1"/>
    <xf numFmtId="0" fontId="51" fillId="67" borderId="283" xfId="1" applyFont="1" applyFill="1" applyBorder="1" applyAlignment="1">
      <alignment horizontal="left"/>
    </xf>
    <xf numFmtId="0" fontId="51" fillId="67" borderId="283" xfId="1" applyFont="1" applyFill="1" applyBorder="1" applyAlignment="1">
      <alignment horizontal="left" vertical="center"/>
    </xf>
    <xf numFmtId="0" fontId="51" fillId="67" borderId="81" xfId="1" applyFont="1" applyFill="1" applyBorder="1" applyAlignment="1">
      <alignment horizontal="left" vertical="center"/>
    </xf>
    <xf numFmtId="0" fontId="51" fillId="67" borderId="83" xfId="1" applyFont="1" applyFill="1" applyBorder="1" applyAlignment="1">
      <alignment horizontal="left" vertical="center"/>
    </xf>
    <xf numFmtId="0" fontId="51" fillId="67" borderId="281" xfId="1" applyFont="1" applyFill="1" applyBorder="1" applyAlignment="1">
      <alignment horizontal="left" vertical="center"/>
    </xf>
    <xf numFmtId="20" fontId="48" fillId="65" borderId="117" xfId="0" applyNumberFormat="1" applyFont="1" applyFill="1" applyBorder="1" applyAlignment="1">
      <alignment horizontal="center"/>
    </xf>
    <xf numFmtId="20" fontId="51" fillId="67" borderId="154" xfId="0" applyNumberFormat="1" applyFont="1" applyFill="1" applyBorder="1" applyAlignment="1">
      <alignment horizontal="center" vertical="center"/>
    </xf>
    <xf numFmtId="20" fontId="48" fillId="30" borderId="170" xfId="0" applyNumberFormat="1" applyFont="1" applyFill="1" applyBorder="1" applyAlignment="1">
      <alignment horizontal="center" vertical="center"/>
    </xf>
    <xf numFmtId="0" fontId="51" fillId="67" borderId="284" xfId="1" applyFont="1" applyFill="1" applyBorder="1" applyAlignment="1">
      <alignment horizontal="left" vertical="center"/>
    </xf>
    <xf numFmtId="0" fontId="48" fillId="67" borderId="171" xfId="0" applyFont="1" applyFill="1" applyBorder="1"/>
    <xf numFmtId="0" fontId="51" fillId="67" borderId="171" xfId="1" applyFont="1" applyFill="1" applyBorder="1" applyAlignment="1">
      <alignment horizontal="left"/>
    </xf>
    <xf numFmtId="0" fontId="51" fillId="67" borderId="171" xfId="1" applyFont="1" applyFill="1" applyBorder="1" applyAlignment="1">
      <alignment horizontal="left" vertical="center"/>
    </xf>
    <xf numFmtId="0" fontId="51" fillId="67" borderId="270" xfId="1" applyFont="1" applyFill="1" applyBorder="1" applyAlignment="1">
      <alignment horizontal="left" vertical="center"/>
    </xf>
    <xf numFmtId="0" fontId="51" fillId="67" borderId="269" xfId="1" applyFont="1" applyFill="1" applyBorder="1" applyAlignment="1">
      <alignment horizontal="left" vertical="center"/>
    </xf>
    <xf numFmtId="20" fontId="51" fillId="66" borderId="143" xfId="0" applyNumberFormat="1" applyFont="1" applyFill="1" applyBorder="1" applyAlignment="1">
      <alignment horizontal="center" vertical="center"/>
    </xf>
    <xf numFmtId="20" fontId="51" fillId="66" borderId="117" xfId="0" applyNumberFormat="1" applyFont="1" applyFill="1" applyBorder="1" applyAlignment="1">
      <alignment horizontal="center" vertical="center"/>
    </xf>
    <xf numFmtId="20" fontId="51" fillId="66" borderId="113" xfId="0" applyNumberFormat="1" applyFont="1" applyFill="1" applyBorder="1" applyAlignment="1">
      <alignment horizontal="center" vertical="center"/>
    </xf>
    <xf numFmtId="20" fontId="51" fillId="67" borderId="117" xfId="0" applyNumberFormat="1" applyFont="1" applyFill="1" applyBorder="1" applyAlignment="1">
      <alignment horizontal="center" vertical="center"/>
    </xf>
    <xf numFmtId="20" fontId="51" fillId="67" borderId="143" xfId="0" applyNumberFormat="1" applyFont="1" applyFill="1" applyBorder="1" applyAlignment="1">
      <alignment horizontal="center" vertical="center"/>
    </xf>
    <xf numFmtId="20" fontId="48" fillId="28" borderId="143" xfId="0" applyNumberFormat="1" applyFont="1" applyFill="1" applyBorder="1" applyAlignment="1">
      <alignment horizontal="center" vertical="center"/>
    </xf>
    <xf numFmtId="20" fontId="48" fillId="28" borderId="16" xfId="0" applyNumberFormat="1" applyFont="1" applyFill="1" applyBorder="1" applyAlignment="1">
      <alignment horizontal="center" vertical="center"/>
    </xf>
    <xf numFmtId="0" fontId="50" fillId="67" borderId="187" xfId="0" applyFont="1" applyFill="1" applyBorder="1" applyAlignment="1">
      <alignment horizontal="center"/>
    </xf>
    <xf numFmtId="20" fontId="51" fillId="5" borderId="227" xfId="0" applyNumberFormat="1" applyFont="1" applyFill="1" applyBorder="1" applyAlignment="1">
      <alignment horizontal="center" vertical="center"/>
    </xf>
    <xf numFmtId="20" fontId="51" fillId="5" borderId="222" xfId="0" applyNumberFormat="1" applyFont="1" applyFill="1" applyBorder="1" applyAlignment="1">
      <alignment horizontal="center" vertical="center"/>
    </xf>
    <xf numFmtId="20" fontId="51" fillId="14" borderId="285" xfId="0" applyNumberFormat="1" applyFont="1" applyFill="1" applyBorder="1" applyAlignment="1">
      <alignment horizontal="center" vertical="center"/>
    </xf>
    <xf numFmtId="20" fontId="51" fillId="14" borderId="286" xfId="0" applyNumberFormat="1" applyFont="1" applyFill="1" applyBorder="1" applyAlignment="1">
      <alignment horizontal="center" vertical="center"/>
    </xf>
    <xf numFmtId="20" fontId="51" fillId="14" borderId="202" xfId="0" applyNumberFormat="1" applyFont="1" applyFill="1" applyBorder="1" applyAlignment="1">
      <alignment horizontal="center" vertical="center"/>
    </xf>
    <xf numFmtId="20" fontId="51" fillId="14" borderId="119" xfId="0" applyNumberFormat="1" applyFont="1" applyFill="1" applyBorder="1" applyAlignment="1">
      <alignment horizontal="center" vertical="center"/>
    </xf>
    <xf numFmtId="20" fontId="51" fillId="14" borderId="287" xfId="0" applyNumberFormat="1" applyFont="1" applyFill="1" applyBorder="1" applyAlignment="1">
      <alignment horizontal="center" vertical="center"/>
    </xf>
    <xf numFmtId="20" fontId="51" fillId="14" borderId="203" xfId="0" applyNumberFormat="1" applyFont="1" applyFill="1" applyBorder="1" applyAlignment="1">
      <alignment horizontal="center" vertical="center"/>
    </xf>
    <xf numFmtId="20" fontId="51" fillId="3" borderId="271" xfId="0" applyNumberFormat="1" applyFont="1" applyFill="1" applyBorder="1" applyAlignment="1">
      <alignment horizontal="center" vertical="center"/>
    </xf>
    <xf numFmtId="20" fontId="51" fillId="67" borderId="178" xfId="0" applyNumberFormat="1" applyFont="1" applyFill="1" applyBorder="1" applyAlignment="1">
      <alignment horizontal="center" vertical="center"/>
    </xf>
    <xf numFmtId="20" fontId="51" fillId="66" borderId="178" xfId="0" applyNumberFormat="1" applyFont="1" applyFill="1" applyBorder="1" applyAlignment="1">
      <alignment horizontal="center" vertical="center"/>
    </xf>
    <xf numFmtId="20" fontId="51" fillId="5" borderId="184" xfId="0" applyNumberFormat="1" applyFont="1" applyFill="1" applyBorder="1" applyAlignment="1">
      <alignment horizontal="center" vertical="center"/>
    </xf>
    <xf numFmtId="20" fontId="51" fillId="3" borderId="274" xfId="0" applyNumberFormat="1" applyFont="1" applyFill="1" applyBorder="1" applyAlignment="1">
      <alignment horizontal="center" vertical="center"/>
    </xf>
    <xf numFmtId="20" fontId="51" fillId="3" borderId="275" xfId="0" applyNumberFormat="1" applyFont="1" applyFill="1" applyBorder="1" applyAlignment="1">
      <alignment horizontal="center" vertical="center"/>
    </xf>
    <xf numFmtId="20" fontId="51" fillId="3" borderId="180" xfId="0" applyNumberFormat="1" applyFont="1" applyFill="1" applyBorder="1" applyAlignment="1">
      <alignment horizontal="center" vertical="center"/>
    </xf>
    <xf numFmtId="20" fontId="14" fillId="3" borderId="264" xfId="0" applyNumberFormat="1" applyFont="1" applyFill="1" applyBorder="1" applyAlignment="1">
      <alignment horizontal="center" vertical="center"/>
    </xf>
    <xf numFmtId="20" fontId="44" fillId="25" borderId="264" xfId="0" applyNumberFormat="1" applyFont="1" applyFill="1" applyBorder="1" applyAlignment="1">
      <alignment horizontal="center"/>
    </xf>
    <xf numFmtId="20" fontId="44" fillId="25" borderId="265" xfId="0" applyNumberFormat="1" applyFont="1" applyFill="1" applyBorder="1" applyAlignment="1">
      <alignment horizontal="center"/>
    </xf>
    <xf numFmtId="20" fontId="14" fillId="3" borderId="273" xfId="0" applyNumberFormat="1" applyFont="1" applyFill="1" applyBorder="1" applyAlignment="1">
      <alignment horizontal="center"/>
    </xf>
    <xf numFmtId="20" fontId="14" fillId="3" borderId="272" xfId="0" applyNumberFormat="1" applyFont="1" applyFill="1" applyBorder="1" applyAlignment="1">
      <alignment horizontal="center"/>
    </xf>
    <xf numFmtId="20" fontId="14" fillId="3" borderId="245" xfId="0" applyNumberFormat="1" applyFont="1" applyFill="1" applyBorder="1" applyAlignment="1">
      <alignment horizontal="center"/>
    </xf>
    <xf numFmtId="20" fontId="14" fillId="3" borderId="264" xfId="0" applyNumberFormat="1" applyFont="1" applyFill="1" applyBorder="1" applyAlignment="1">
      <alignment horizontal="center"/>
    </xf>
    <xf numFmtId="20" fontId="14" fillId="3" borderId="265" xfId="0" applyNumberFormat="1" applyFont="1" applyFill="1" applyBorder="1" applyAlignment="1">
      <alignment horizontal="center"/>
    </xf>
    <xf numFmtId="20" fontId="14" fillId="3" borderId="197" xfId="0" applyNumberFormat="1" applyFont="1" applyFill="1" applyBorder="1" applyAlignment="1">
      <alignment horizontal="center"/>
    </xf>
    <xf numFmtId="20" fontId="14" fillId="3" borderId="288" xfId="0" applyNumberFormat="1" applyFont="1" applyFill="1" applyBorder="1" applyAlignment="1">
      <alignment horizontal="center"/>
    </xf>
    <xf numFmtId="20" fontId="44" fillId="25" borderId="289" xfId="0" applyNumberFormat="1" applyFont="1" applyFill="1" applyBorder="1" applyAlignment="1">
      <alignment horizontal="center"/>
    </xf>
    <xf numFmtId="20" fontId="45" fillId="5" borderId="101" xfId="0" applyNumberFormat="1" applyFont="1" applyFill="1" applyBorder="1" applyAlignment="1">
      <alignment horizontal="center"/>
    </xf>
    <xf numFmtId="20" fontId="14" fillId="3" borderId="96" xfId="0" applyNumberFormat="1" applyFont="1" applyFill="1" applyBorder="1" applyAlignment="1">
      <alignment horizontal="center"/>
    </xf>
    <xf numFmtId="20" fontId="44" fillId="5" borderId="289" xfId="0" applyNumberFormat="1" applyFont="1" applyFill="1" applyBorder="1" applyAlignment="1">
      <alignment horizontal="center"/>
    </xf>
    <xf numFmtId="20" fontId="14" fillId="61" borderId="143" xfId="0" applyNumberFormat="1" applyFont="1" applyFill="1" applyBorder="1" applyAlignment="1">
      <alignment horizontal="center"/>
    </xf>
    <xf numFmtId="20" fontId="44" fillId="54" borderId="154" xfId="0" applyNumberFormat="1" applyFont="1" applyFill="1" applyBorder="1" applyAlignment="1">
      <alignment horizontal="center"/>
    </xf>
    <xf numFmtId="20" fontId="44" fillId="3" borderId="154" xfId="0" applyNumberFormat="1" applyFont="1" applyFill="1" applyBorder="1" applyAlignment="1">
      <alignment horizontal="center"/>
    </xf>
    <xf numFmtId="20" fontId="14" fillId="61" borderId="143" xfId="0" applyNumberFormat="1" applyFont="1" applyFill="1" applyBorder="1" applyAlignment="1">
      <alignment horizontal="center" vertical="center"/>
    </xf>
    <xf numFmtId="20" fontId="14" fillId="24" borderId="113" xfId="0" applyNumberFormat="1" applyFont="1" applyFill="1" applyBorder="1" applyAlignment="1">
      <alignment horizontal="center"/>
    </xf>
    <xf numFmtId="20" fontId="14" fillId="24" borderId="101" xfId="0" applyNumberFormat="1" applyFont="1" applyFill="1" applyBorder="1" applyAlignment="1">
      <alignment horizontal="center" vertical="center"/>
    </xf>
    <xf numFmtId="20" fontId="14" fillId="24" borderId="154" xfId="0" applyNumberFormat="1" applyFont="1" applyFill="1" applyBorder="1" applyAlignment="1">
      <alignment horizontal="center" vertical="center"/>
    </xf>
    <xf numFmtId="20" fontId="14" fillId="24" borderId="113" xfId="0" applyNumberFormat="1" applyFont="1" applyFill="1" applyBorder="1" applyAlignment="1">
      <alignment horizontal="center" vertical="center"/>
    </xf>
    <xf numFmtId="20" fontId="14" fillId="24" borderId="143" xfId="0" applyNumberFormat="1" applyFont="1" applyFill="1" applyBorder="1" applyAlignment="1">
      <alignment horizontal="center" vertical="center"/>
    </xf>
    <xf numFmtId="20" fontId="44" fillId="25" borderId="285" xfId="0" applyNumberFormat="1" applyFont="1" applyFill="1" applyBorder="1" applyAlignment="1">
      <alignment horizontal="center"/>
    </xf>
    <xf numFmtId="20" fontId="44" fillId="25" borderId="290" xfId="0" applyNumberFormat="1" applyFont="1" applyFill="1" applyBorder="1" applyAlignment="1">
      <alignment horizontal="center"/>
    </xf>
    <xf numFmtId="20" fontId="14" fillId="3" borderId="263" xfId="0" applyNumberFormat="1" applyFont="1" applyFill="1" applyBorder="1" applyAlignment="1">
      <alignment horizontal="center"/>
    </xf>
    <xf numFmtId="20" fontId="45" fillId="5" borderId="224" xfId="0" applyNumberFormat="1" applyFont="1" applyFill="1" applyBorder="1" applyAlignment="1">
      <alignment horizontal="center"/>
    </xf>
    <xf numFmtId="20" fontId="44" fillId="25" borderId="267" xfId="0" applyNumberFormat="1" applyFont="1" applyFill="1" applyBorder="1" applyAlignment="1">
      <alignment horizontal="center"/>
    </xf>
    <xf numFmtId="20" fontId="14" fillId="3" borderId="291" xfId="0" applyNumberFormat="1" applyFont="1" applyFill="1" applyBorder="1" applyAlignment="1">
      <alignment horizontal="center"/>
    </xf>
    <xf numFmtId="20" fontId="44" fillId="25" borderId="222" xfId="0" applyNumberFormat="1" applyFont="1" applyFill="1" applyBorder="1" applyAlignment="1">
      <alignment horizontal="center"/>
    </xf>
    <xf numFmtId="20" fontId="14" fillId="5" borderId="118" xfId="0" applyNumberFormat="1" applyFont="1" applyFill="1" applyBorder="1" applyAlignment="1">
      <alignment horizontal="center"/>
    </xf>
    <xf numFmtId="20" fontId="14" fillId="5" borderId="179" xfId="0" applyNumberFormat="1" applyFont="1" applyFill="1" applyBorder="1" applyAlignment="1">
      <alignment horizontal="center" vertical="center"/>
    </xf>
    <xf numFmtId="20" fontId="14" fillId="3" borderId="180" xfId="0" applyNumberFormat="1" applyFont="1" applyFill="1" applyBorder="1" applyAlignment="1">
      <alignment horizontal="center" vertical="center"/>
    </xf>
    <xf numFmtId="20" fontId="14" fillId="3" borderId="266" xfId="0" applyNumberFormat="1" applyFont="1" applyFill="1" applyBorder="1" applyAlignment="1">
      <alignment horizontal="center" vertical="center"/>
    </xf>
    <xf numFmtId="20" fontId="14" fillId="61" borderId="214" xfId="0" applyNumberFormat="1" applyFont="1" applyFill="1" applyBorder="1" applyAlignment="1">
      <alignment horizontal="center" vertical="center"/>
    </xf>
    <xf numFmtId="0" fontId="43" fillId="32" borderId="185" xfId="0" applyFont="1" applyFill="1" applyBorder="1" applyAlignment="1">
      <alignment horizontal="left" vertical="center"/>
    </xf>
    <xf numFmtId="0" fontId="3" fillId="32" borderId="186" xfId="0" applyFont="1" applyFill="1" applyBorder="1" applyAlignment="1">
      <alignment horizontal="center" vertical="center"/>
    </xf>
    <xf numFmtId="0" fontId="3" fillId="32" borderId="178" xfId="0" applyFont="1" applyFill="1" applyBorder="1" applyAlignment="1">
      <alignment horizontal="center" vertical="center"/>
    </xf>
    <xf numFmtId="20" fontId="14" fillId="71" borderId="154" xfId="0" applyNumberFormat="1" applyFont="1" applyFill="1" applyBorder="1" applyAlignment="1">
      <alignment horizontal="center"/>
    </xf>
    <xf numFmtId="20" fontId="14" fillId="71" borderId="143" xfId="0" applyNumberFormat="1" applyFont="1" applyFill="1" applyBorder="1" applyAlignment="1">
      <alignment horizontal="center"/>
    </xf>
    <xf numFmtId="20" fontId="14" fillId="71" borderId="143" xfId="0" applyNumberFormat="1" applyFont="1" applyFill="1" applyBorder="1" applyAlignment="1">
      <alignment horizontal="center" vertical="center"/>
    </xf>
    <xf numFmtId="20" fontId="14" fillId="71" borderId="204" xfId="0" applyNumberFormat="1" applyFont="1" applyFill="1" applyBorder="1" applyAlignment="1">
      <alignment horizontal="center" vertical="center"/>
    </xf>
    <xf numFmtId="20" fontId="14" fillId="3" borderId="287" xfId="0" applyNumberFormat="1" applyFont="1" applyFill="1" applyBorder="1" applyAlignment="1">
      <alignment horizontal="center"/>
    </xf>
    <xf numFmtId="20" fontId="44" fillId="54" borderId="129" xfId="0" applyNumberFormat="1" applyFont="1" applyFill="1" applyBorder="1" applyAlignment="1">
      <alignment horizontal="center"/>
    </xf>
    <xf numFmtId="20" fontId="44" fillId="5" borderId="266" xfId="0" applyNumberFormat="1" applyFont="1" applyFill="1" applyBorder="1" applyAlignment="1">
      <alignment horizontal="center"/>
    </xf>
    <xf numFmtId="20" fontId="44" fillId="25" borderId="266" xfId="0" applyNumberFormat="1" applyFont="1" applyFill="1" applyBorder="1" applyAlignment="1">
      <alignment horizontal="center"/>
    </xf>
    <xf numFmtId="20" fontId="14" fillId="61" borderId="117" xfId="0" applyNumberFormat="1" applyFont="1" applyFill="1" applyBorder="1" applyAlignment="1">
      <alignment horizontal="center"/>
    </xf>
    <xf numFmtId="0" fontId="32" fillId="32" borderId="223" xfId="0" applyFont="1" applyFill="1" applyBorder="1" applyAlignment="1">
      <alignment horizontal="left" vertical="center"/>
    </xf>
    <xf numFmtId="0" fontId="3" fillId="32" borderId="207" xfId="0" applyFont="1" applyFill="1" applyBorder="1" applyAlignment="1">
      <alignment horizontal="center" vertical="center"/>
    </xf>
    <xf numFmtId="0" fontId="32" fillId="29" borderId="185" xfId="0" applyFont="1" applyFill="1" applyBorder="1" applyAlignment="1">
      <alignment horizontal="left" vertical="center"/>
    </xf>
    <xf numFmtId="0" fontId="3" fillId="29" borderId="186" xfId="0" applyFont="1" applyFill="1" applyBorder="1" applyAlignment="1">
      <alignment horizontal="center" vertical="center"/>
    </xf>
    <xf numFmtId="0" fontId="3" fillId="29" borderId="178" xfId="0" applyFont="1" applyFill="1" applyBorder="1" applyAlignment="1">
      <alignment horizontal="center" vertical="center"/>
    </xf>
    <xf numFmtId="0" fontId="32" fillId="29" borderId="178" xfId="0" applyFont="1" applyFill="1" applyBorder="1" applyAlignment="1">
      <alignment horizontal="center" vertical="center"/>
    </xf>
    <xf numFmtId="20" fontId="44" fillId="5" borderId="154" xfId="0" applyNumberFormat="1" applyFont="1" applyFill="1" applyBorder="1" applyAlignment="1">
      <alignment horizontal="center"/>
    </xf>
    <xf numFmtId="20" fontId="46" fillId="3" borderId="274" xfId="0" applyNumberFormat="1" applyFont="1" applyFill="1" applyBorder="1" applyAlignment="1">
      <alignment horizontal="center" vertical="center"/>
    </xf>
    <xf numFmtId="0" fontId="32" fillId="29" borderId="223" xfId="0" applyFont="1" applyFill="1" applyBorder="1" applyAlignment="1">
      <alignment horizontal="left" vertical="center"/>
    </xf>
    <xf numFmtId="0" fontId="32" fillId="29" borderId="207" xfId="0" applyFont="1" applyFill="1" applyBorder="1" applyAlignment="1">
      <alignment horizontal="center" vertical="center"/>
    </xf>
    <xf numFmtId="0" fontId="32" fillId="63" borderId="185" xfId="0" applyFont="1" applyFill="1" applyBorder="1" applyAlignment="1">
      <alignment horizontal="left" vertical="center"/>
    </xf>
    <xf numFmtId="0" fontId="32" fillId="63" borderId="222" xfId="0" applyFont="1" applyFill="1" applyBorder="1" applyAlignment="1">
      <alignment horizontal="center" vertical="center"/>
    </xf>
    <xf numFmtId="20" fontId="14" fillId="61" borderId="96" xfId="0" applyNumberFormat="1" applyFont="1" applyFill="1" applyBorder="1" applyAlignment="1">
      <alignment horizontal="center"/>
    </xf>
    <xf numFmtId="20" fontId="44" fillId="5" borderId="115" xfId="0" applyNumberFormat="1" applyFont="1" applyFill="1" applyBorder="1" applyAlignment="1">
      <alignment horizontal="center" vertical="center"/>
    </xf>
    <xf numFmtId="20" fontId="44" fillId="5" borderId="222" xfId="0" applyNumberFormat="1" applyFont="1" applyFill="1" applyBorder="1" applyAlignment="1">
      <alignment horizontal="center" vertical="center"/>
    </xf>
    <xf numFmtId="20" fontId="44" fillId="5" borderId="292" xfId="0" applyNumberFormat="1" applyFont="1" applyFill="1" applyBorder="1" applyAlignment="1">
      <alignment horizontal="center" vertical="center"/>
    </xf>
    <xf numFmtId="20" fontId="44" fillId="15" borderId="274" xfId="0" applyNumberFormat="1" applyFont="1" applyFill="1" applyBorder="1" applyAlignment="1">
      <alignment horizontal="center" vertical="center"/>
    </xf>
    <xf numFmtId="20" fontId="44" fillId="5" borderId="293" xfId="0" applyNumberFormat="1" applyFont="1" applyFill="1" applyBorder="1" applyAlignment="1">
      <alignment horizontal="center" vertical="center"/>
    </xf>
    <xf numFmtId="20" fontId="14" fillId="3" borderId="273" xfId="0" applyNumberFormat="1" applyFont="1" applyFill="1" applyBorder="1" applyAlignment="1">
      <alignment horizontal="center" vertical="center"/>
    </xf>
    <xf numFmtId="20" fontId="14" fillId="3" borderId="112" xfId="0" applyNumberFormat="1" applyFont="1" applyFill="1" applyBorder="1" applyAlignment="1">
      <alignment horizontal="center"/>
    </xf>
    <xf numFmtId="20" fontId="44" fillId="5" borderId="274" xfId="0" applyNumberFormat="1" applyFont="1" applyFill="1" applyBorder="1" applyAlignment="1">
      <alignment horizontal="center" vertical="center"/>
    </xf>
    <xf numFmtId="20" fontId="14" fillId="5" borderId="118" xfId="0" applyNumberFormat="1" applyFont="1" applyFill="1" applyBorder="1" applyAlignment="1">
      <alignment horizontal="center" vertical="center"/>
    </xf>
    <xf numFmtId="20" fontId="44" fillId="3" borderId="224" xfId="0" applyNumberFormat="1" applyFont="1" applyFill="1" applyBorder="1" applyAlignment="1">
      <alignment horizontal="center"/>
    </xf>
    <xf numFmtId="20" fontId="44" fillId="15" borderId="184" xfId="0" applyNumberFormat="1" applyFont="1" applyFill="1" applyBorder="1" applyAlignment="1">
      <alignment horizontal="center" vertical="center"/>
    </xf>
    <xf numFmtId="20" fontId="14" fillId="24" borderId="117" xfId="0" applyNumberFormat="1" applyFont="1" applyFill="1" applyBorder="1" applyAlignment="1">
      <alignment horizontal="center" vertical="center"/>
    </xf>
    <xf numFmtId="20" fontId="14" fillId="5" borderId="185" xfId="0" applyNumberFormat="1" applyFont="1" applyFill="1" applyBorder="1" applyAlignment="1">
      <alignment horizontal="center" vertical="center"/>
    </xf>
    <xf numFmtId="20" fontId="14" fillId="5" borderId="115" xfId="0" applyNumberFormat="1" applyFont="1" applyFill="1" applyBorder="1" applyAlignment="1">
      <alignment horizontal="center" vertical="center"/>
    </xf>
    <xf numFmtId="20" fontId="14" fillId="5" borderId="115" xfId="0" applyNumberFormat="1" applyFont="1" applyFill="1" applyBorder="1" applyAlignment="1">
      <alignment horizontal="center"/>
    </xf>
    <xf numFmtId="20" fontId="44" fillId="54" borderId="118" xfId="0" applyNumberFormat="1" applyFont="1" applyFill="1" applyBorder="1" applyAlignment="1">
      <alignment horizontal="center"/>
    </xf>
    <xf numFmtId="20" fontId="44" fillId="5" borderId="178" xfId="0" applyNumberFormat="1" applyFont="1" applyFill="1" applyBorder="1" applyAlignment="1">
      <alignment horizontal="center"/>
    </xf>
    <xf numFmtId="20" fontId="14" fillId="5" borderId="184" xfId="0" applyNumberFormat="1" applyFont="1" applyFill="1" applyBorder="1" applyAlignment="1">
      <alignment horizontal="center" vertical="center"/>
    </xf>
    <xf numFmtId="20" fontId="14" fillId="3" borderId="179" xfId="0" applyNumberFormat="1" applyFont="1" applyFill="1" applyBorder="1" applyAlignment="1">
      <alignment horizontal="center" vertical="center"/>
    </xf>
    <xf numFmtId="20" fontId="46" fillId="61" borderId="184" xfId="0" applyNumberFormat="1" applyFont="1" applyFill="1" applyBorder="1" applyAlignment="1">
      <alignment horizontal="center" vertical="center"/>
    </xf>
    <xf numFmtId="20" fontId="46" fillId="61" borderId="179" xfId="0" applyNumberFormat="1" applyFont="1" applyFill="1" applyBorder="1" applyAlignment="1">
      <alignment horizontal="center" vertical="center"/>
    </xf>
    <xf numFmtId="20" fontId="14" fillId="3" borderId="227" xfId="0" applyNumberFormat="1" applyFont="1" applyFill="1" applyBorder="1" applyAlignment="1">
      <alignment horizontal="center"/>
    </xf>
    <xf numFmtId="20" fontId="14" fillId="24" borderId="292" xfId="0" applyNumberFormat="1" applyFont="1" applyFill="1" applyBorder="1" applyAlignment="1">
      <alignment horizontal="center"/>
    </xf>
    <xf numFmtId="20" fontId="14" fillId="24" borderId="222" xfId="0" applyNumberFormat="1" applyFont="1" applyFill="1" applyBorder="1" applyAlignment="1">
      <alignment horizontal="center"/>
    </xf>
    <xf numFmtId="20" fontId="14" fillId="24" borderId="158" xfId="0" applyNumberFormat="1" applyFont="1" applyFill="1" applyBorder="1" applyAlignment="1">
      <alignment horizontal="center" vertical="center"/>
    </xf>
    <xf numFmtId="20" fontId="14" fillId="59" borderId="113" xfId="0" applyNumberFormat="1" applyFont="1" applyFill="1" applyBorder="1" applyAlignment="1">
      <alignment horizontal="center" vertical="center"/>
    </xf>
    <xf numFmtId="20" fontId="14" fillId="59" borderId="143" xfId="0" applyNumberFormat="1" applyFont="1" applyFill="1" applyBorder="1" applyAlignment="1">
      <alignment horizontal="center" vertical="center"/>
    </xf>
    <xf numFmtId="20" fontId="51" fillId="59" borderId="202" xfId="0" applyNumberFormat="1" applyFont="1" applyFill="1" applyBorder="1" applyAlignment="1">
      <alignment horizontal="center" vertical="center"/>
    </xf>
    <xf numFmtId="20" fontId="45" fillId="3" borderId="113" xfId="0" applyNumberFormat="1" applyFont="1" applyFill="1" applyBorder="1" applyAlignment="1">
      <alignment horizontal="center"/>
    </xf>
    <xf numFmtId="20" fontId="45" fillId="3" borderId="113" xfId="0" applyNumberFormat="1" applyFont="1" applyFill="1" applyBorder="1" applyAlignment="1">
      <alignment horizontal="center" vertical="center"/>
    </xf>
    <xf numFmtId="20" fontId="44" fillId="3" borderId="7" xfId="0" applyNumberFormat="1" applyFont="1" applyFill="1" applyBorder="1" applyAlignment="1">
      <alignment horizontal="center"/>
    </xf>
    <xf numFmtId="20" fontId="44" fillId="5" borderId="8" xfId="0" applyNumberFormat="1" applyFont="1" applyFill="1" applyBorder="1" applyAlignment="1">
      <alignment horizontal="center" vertical="center"/>
    </xf>
    <xf numFmtId="20" fontId="44" fillId="5" borderId="26" xfId="0" applyNumberFormat="1" applyFont="1" applyFill="1" applyBorder="1" applyAlignment="1">
      <alignment horizontal="center" vertical="center"/>
    </xf>
    <xf numFmtId="20" fontId="44" fillId="3" borderId="294" xfId="0" applyNumberFormat="1" applyFont="1" applyFill="1" applyBorder="1" applyAlignment="1">
      <alignment horizontal="center"/>
    </xf>
    <xf numFmtId="20" fontId="44" fillId="5" borderId="8" xfId="0" applyNumberFormat="1" applyFont="1" applyFill="1" applyBorder="1" applyAlignment="1">
      <alignment horizontal="center"/>
    </xf>
    <xf numFmtId="20" fontId="44" fillId="5" borderId="9" xfId="0" applyNumberFormat="1" applyFont="1" applyFill="1" applyBorder="1" applyAlignment="1">
      <alignment horizontal="center"/>
    </xf>
    <xf numFmtId="20" fontId="44" fillId="15" borderId="295" xfId="0" applyNumberFormat="1" applyFont="1" applyFill="1" applyBorder="1" applyAlignment="1">
      <alignment horizontal="center" vertical="center"/>
    </xf>
    <xf numFmtId="20" fontId="44" fillId="3" borderId="101" xfId="0" applyNumberFormat="1" applyFont="1" applyFill="1" applyBorder="1" applyAlignment="1">
      <alignment horizontal="center" vertical="center"/>
    </xf>
    <xf numFmtId="165" fontId="49" fillId="68" borderId="5" xfId="0" applyNumberFormat="1" applyFont="1" applyFill="1" applyBorder="1" applyAlignment="1">
      <alignment horizontal="center" vertical="center"/>
    </xf>
    <xf numFmtId="165" fontId="49" fillId="68" borderId="2" xfId="0" applyNumberFormat="1" applyFont="1" applyFill="1" applyBorder="1" applyAlignment="1">
      <alignment horizontal="center" vertical="center"/>
    </xf>
    <xf numFmtId="165" fontId="49" fillId="64" borderId="5" xfId="0" applyNumberFormat="1" applyFont="1" applyFill="1" applyBorder="1" applyAlignment="1">
      <alignment horizontal="center" vertical="center"/>
    </xf>
    <xf numFmtId="165" fontId="49" fillId="64" borderId="2" xfId="0" applyNumberFormat="1" applyFont="1" applyFill="1" applyBorder="1" applyAlignment="1">
      <alignment horizontal="center" vertical="center"/>
    </xf>
    <xf numFmtId="165" fontId="49" fillId="3" borderId="52" xfId="0" applyNumberFormat="1" applyFont="1" applyFill="1" applyBorder="1" applyAlignment="1">
      <alignment horizontal="center" vertical="center"/>
    </xf>
    <xf numFmtId="165" fontId="49" fillId="3" borderId="71" xfId="0" applyNumberFormat="1" applyFont="1" applyFill="1" applyBorder="1" applyAlignment="1">
      <alignment horizontal="center" vertical="center"/>
    </xf>
    <xf numFmtId="165" fontId="49" fillId="28" borderId="52" xfId="0" applyNumberFormat="1" applyFont="1" applyFill="1" applyBorder="1" applyAlignment="1">
      <alignment horizontal="center" vertical="center"/>
    </xf>
    <xf numFmtId="165" fontId="49" fillId="28" borderId="71" xfId="0" applyNumberFormat="1" applyFont="1" applyFill="1" applyBorder="1" applyAlignment="1">
      <alignment horizontal="center" vertical="center"/>
    </xf>
    <xf numFmtId="165" fontId="49" fillId="0" borderId="52" xfId="0" applyNumberFormat="1" applyFont="1" applyBorder="1" applyAlignment="1">
      <alignment horizontal="center" vertical="center"/>
    </xf>
    <xf numFmtId="165" fontId="49" fillId="0" borderId="71" xfId="0" applyNumberFormat="1" applyFont="1" applyBorder="1" applyAlignment="1">
      <alignment horizontal="center" vertical="center"/>
    </xf>
    <xf numFmtId="165" fontId="49" fillId="0" borderId="254" xfId="0" applyNumberFormat="1" applyFont="1" applyBorder="1" applyAlignment="1">
      <alignment horizontal="center" vertical="center"/>
    </xf>
    <xf numFmtId="165" fontId="49" fillId="68" borderId="226" xfId="0" applyNumberFormat="1" applyFont="1" applyFill="1" applyBorder="1" applyAlignment="1">
      <alignment horizontal="center" vertical="center"/>
    </xf>
    <xf numFmtId="165" fontId="49" fillId="68" borderId="225" xfId="0" applyNumberFormat="1" applyFont="1" applyFill="1" applyBorder="1" applyAlignment="1">
      <alignment horizontal="center" vertical="center"/>
    </xf>
    <xf numFmtId="165" fontId="49" fillId="64" borderId="3" xfId="0" applyNumberFormat="1" applyFont="1" applyFill="1" applyBorder="1" applyAlignment="1">
      <alignment horizontal="center" vertical="center"/>
    </xf>
    <xf numFmtId="165" fontId="49" fillId="3" borderId="5" xfId="0" applyNumberFormat="1" applyFont="1" applyFill="1" applyBorder="1" applyAlignment="1">
      <alignment horizontal="center" vertical="center"/>
    </xf>
    <xf numFmtId="165" fontId="49" fillId="3" borderId="2" xfId="0" applyNumberFormat="1" applyFont="1" applyFill="1" applyBorder="1" applyAlignment="1">
      <alignment horizontal="center" vertical="center"/>
    </xf>
    <xf numFmtId="165" fontId="49" fillId="3" borderId="226" xfId="0" applyNumberFormat="1" applyFont="1" applyFill="1" applyBorder="1" applyAlignment="1">
      <alignment horizontal="center" vertical="center"/>
    </xf>
    <xf numFmtId="165" fontId="49" fillId="3" borderId="225" xfId="0" applyNumberFormat="1" applyFont="1" applyFill="1" applyBorder="1" applyAlignment="1">
      <alignment horizontal="center" vertical="center"/>
    </xf>
    <xf numFmtId="165" fontId="49" fillId="3" borderId="235" xfId="0" applyNumberFormat="1" applyFont="1" applyFill="1" applyBorder="1" applyAlignment="1">
      <alignment horizontal="center" vertical="center"/>
    </xf>
    <xf numFmtId="0" fontId="49" fillId="3" borderId="29" xfId="0" applyFont="1" applyFill="1" applyBorder="1" applyAlignment="1">
      <alignment horizontal="center"/>
    </xf>
    <xf numFmtId="0" fontId="49" fillId="3" borderId="58" xfId="0" applyFont="1" applyFill="1" applyBorder="1" applyAlignment="1">
      <alignment horizontal="center"/>
    </xf>
    <xf numFmtId="0" fontId="49" fillId="0" borderId="29" xfId="0" applyFont="1" applyBorder="1" applyAlignment="1">
      <alignment horizontal="center"/>
    </xf>
    <xf numFmtId="0" fontId="49" fillId="0" borderId="253" xfId="0" applyFont="1" applyBorder="1" applyAlignment="1">
      <alignment horizontal="center"/>
    </xf>
    <xf numFmtId="165" fontId="49" fillId="28" borderId="5" xfId="0" applyNumberFormat="1" applyFont="1" applyFill="1" applyBorder="1" applyAlignment="1">
      <alignment horizontal="center" vertical="center"/>
    </xf>
    <xf numFmtId="0" fontId="49" fillId="64" borderId="3" xfId="0" applyFont="1" applyFill="1" applyBorder="1" applyAlignment="1">
      <alignment horizontal="center"/>
    </xf>
    <xf numFmtId="0" fontId="49" fillId="64" borderId="5" xfId="0" applyFont="1" applyFill="1" applyBorder="1" applyAlignment="1">
      <alignment horizontal="center"/>
    </xf>
    <xf numFmtId="165" fontId="49" fillId="0" borderId="226" xfId="0" applyNumberFormat="1" applyFont="1" applyBorder="1" applyAlignment="1">
      <alignment horizontal="center" vertical="center"/>
    </xf>
    <xf numFmtId="165" fontId="49" fillId="0" borderId="225" xfId="0" applyNumberFormat="1" applyFont="1" applyBorder="1" applyAlignment="1">
      <alignment horizontal="center" vertical="center"/>
    </xf>
    <xf numFmtId="165" fontId="49" fillId="28" borderId="2" xfId="0" applyNumberFormat="1" applyFont="1" applyFill="1" applyBorder="1" applyAlignment="1">
      <alignment horizontal="center" vertical="center"/>
    </xf>
    <xf numFmtId="165" fontId="49" fillId="0" borderId="5" xfId="0" applyNumberFormat="1" applyFont="1" applyBorder="1" applyAlignment="1">
      <alignment horizontal="center" vertical="center"/>
    </xf>
    <xf numFmtId="165" fontId="49" fillId="0" borderId="2" xfId="0" applyNumberFormat="1" applyFont="1" applyBorder="1" applyAlignment="1">
      <alignment horizontal="center" vertical="center"/>
    </xf>
    <xf numFmtId="165" fontId="49" fillId="54" borderId="5" xfId="0" applyNumberFormat="1" applyFont="1" applyFill="1" applyBorder="1" applyAlignment="1">
      <alignment horizontal="center" vertical="center"/>
    </xf>
    <xf numFmtId="165" fontId="49" fillId="54" borderId="226" xfId="0" applyNumberFormat="1" applyFont="1" applyFill="1" applyBorder="1" applyAlignment="1">
      <alignment horizontal="center" vertical="center"/>
    </xf>
    <xf numFmtId="165" fontId="49" fillId="54" borderId="225" xfId="0" applyNumberFormat="1" applyFont="1" applyFill="1" applyBorder="1" applyAlignment="1">
      <alignment horizontal="center" vertical="center"/>
    </xf>
    <xf numFmtId="165" fontId="49" fillId="28" borderId="235" xfId="0" applyNumberFormat="1" applyFont="1" applyFill="1" applyBorder="1" applyAlignment="1">
      <alignment horizontal="center" vertical="center"/>
    </xf>
    <xf numFmtId="165" fontId="49" fillId="28" borderId="226" xfId="0" applyNumberFormat="1" applyFont="1" applyFill="1" applyBorder="1" applyAlignment="1">
      <alignment horizontal="center" vertical="center"/>
    </xf>
    <xf numFmtId="0" fontId="49" fillId="3" borderId="89" xfId="0" applyFont="1" applyFill="1" applyBorder="1" applyAlignment="1">
      <alignment horizontal="center"/>
    </xf>
    <xf numFmtId="0" fontId="49" fillId="28" borderId="29" xfId="0" applyFont="1" applyFill="1" applyBorder="1" applyAlignment="1">
      <alignment horizontal="center"/>
    </xf>
    <xf numFmtId="0" fontId="49" fillId="28" borderId="58" xfId="0" applyFont="1" applyFill="1" applyBorder="1" applyAlignment="1">
      <alignment horizontal="center"/>
    </xf>
    <xf numFmtId="0" fontId="49" fillId="0" borderId="58" xfId="0" applyFont="1" applyBorder="1" applyAlignment="1">
      <alignment horizontal="center"/>
    </xf>
    <xf numFmtId="0" fontId="48" fillId="0" borderId="144" xfId="0" applyFont="1" applyBorder="1" applyAlignment="1">
      <alignment horizontal="center"/>
    </xf>
    <xf numFmtId="0" fontId="48" fillId="0" borderId="243" xfId="0" applyFont="1" applyBorder="1" applyAlignment="1">
      <alignment horizontal="center"/>
    </xf>
    <xf numFmtId="0" fontId="49" fillId="3" borderId="5" xfId="0" applyFont="1" applyFill="1" applyBorder="1" applyAlignment="1">
      <alignment horizontal="center"/>
    </xf>
    <xf numFmtId="0" fontId="49" fillId="68" borderId="5" xfId="0" applyFont="1" applyFill="1" applyBorder="1" applyAlignment="1">
      <alignment horizontal="center"/>
    </xf>
    <xf numFmtId="0" fontId="47" fillId="0" borderId="121" xfId="0" applyFont="1" applyBorder="1" applyAlignment="1">
      <alignment horizontal="center"/>
    </xf>
    <xf numFmtId="0" fontId="47" fillId="0" borderId="122" xfId="0" applyFont="1" applyBorder="1" applyAlignment="1">
      <alignment horizontal="center"/>
    </xf>
    <xf numFmtId="0" fontId="47" fillId="0" borderId="137" xfId="0" applyFont="1" applyBorder="1" applyAlignment="1">
      <alignment horizontal="center"/>
    </xf>
    <xf numFmtId="164" fontId="47" fillId="0" borderId="1" xfId="0" applyNumberFormat="1" applyFont="1" applyBorder="1" applyAlignment="1">
      <alignment horizontal="center"/>
    </xf>
    <xf numFmtId="164" fontId="47" fillId="0" borderId="24" xfId="0" applyNumberFormat="1" applyFont="1" applyBorder="1" applyAlignment="1">
      <alignment horizontal="center"/>
    </xf>
    <xf numFmtId="164" fontId="47" fillId="0" borderId="27" xfId="0" applyNumberFormat="1" applyFont="1" applyBorder="1" applyAlignment="1">
      <alignment horizontal="center"/>
    </xf>
    <xf numFmtId="0" fontId="47" fillId="0" borderId="1" xfId="0" applyFont="1" applyBorder="1" applyAlignment="1">
      <alignment horizontal="center"/>
    </xf>
    <xf numFmtId="0" fontId="47" fillId="0" borderId="24" xfId="0" applyFont="1" applyBorder="1" applyAlignment="1">
      <alignment horizontal="center"/>
    </xf>
    <xf numFmtId="0" fontId="47" fillId="0" borderId="27" xfId="0" applyFont="1" applyBorder="1" applyAlignment="1">
      <alignment horizontal="center"/>
    </xf>
    <xf numFmtId="0" fontId="48" fillId="0" borderId="162" xfId="0" applyFont="1" applyBorder="1" applyAlignment="1">
      <alignment horizontal="center"/>
    </xf>
    <xf numFmtId="164" fontId="47" fillId="0" borderId="120" xfId="0" applyNumberFormat="1" applyFont="1" applyBorder="1" applyAlignment="1">
      <alignment horizontal="center"/>
    </xf>
    <xf numFmtId="164" fontId="47" fillId="0" borderId="122" xfId="0" applyNumberFormat="1" applyFont="1" applyBorder="1" applyAlignment="1">
      <alignment horizontal="center"/>
    </xf>
    <xf numFmtId="0" fontId="49" fillId="54" borderId="3" xfId="0" applyFont="1" applyFill="1" applyBorder="1" applyAlignment="1">
      <alignment horizontal="center"/>
    </xf>
    <xf numFmtId="0" fontId="49" fillId="54" borderId="5" xfId="0" applyFont="1" applyFill="1" applyBorder="1" applyAlignment="1">
      <alignment horizontal="center"/>
    </xf>
    <xf numFmtId="0" fontId="49" fillId="28" borderId="5" xfId="0" applyFont="1" applyFill="1" applyBorder="1" applyAlignment="1">
      <alignment horizontal="center"/>
    </xf>
    <xf numFmtId="164" fontId="47" fillId="0" borderId="121" xfId="0" applyNumberFormat="1" applyFont="1" applyBorder="1" applyAlignment="1">
      <alignment horizontal="center"/>
    </xf>
    <xf numFmtId="164" fontId="47" fillId="0" borderId="124" xfId="0" applyNumberFormat="1" applyFont="1" applyBorder="1" applyAlignment="1">
      <alignment horizontal="center"/>
    </xf>
    <xf numFmtId="0" fontId="49" fillId="68" borderId="126" xfId="0" applyFont="1" applyFill="1" applyBorder="1" applyAlignment="1">
      <alignment horizontal="center"/>
    </xf>
    <xf numFmtId="0" fontId="49" fillId="64" borderId="126" xfId="0" applyFont="1" applyFill="1" applyBorder="1" applyAlignment="1">
      <alignment horizontal="center"/>
    </xf>
    <xf numFmtId="0" fontId="49" fillId="0" borderId="5" xfId="0" applyFont="1" applyBorder="1" applyAlignment="1">
      <alignment horizontal="center"/>
    </xf>
    <xf numFmtId="0" fontId="49" fillId="0" borderId="126" xfId="0" applyFont="1" applyBorder="1" applyAlignment="1">
      <alignment horizontal="center"/>
    </xf>
    <xf numFmtId="0" fontId="49" fillId="3" borderId="3" xfId="0" applyFont="1" applyFill="1" applyBorder="1" applyAlignment="1">
      <alignment horizontal="center"/>
    </xf>
    <xf numFmtId="0" fontId="47" fillId="14" borderId="251" xfId="0" applyFont="1" applyFill="1" applyBorder="1" applyAlignment="1">
      <alignment horizontal="center"/>
    </xf>
    <xf numFmtId="0" fontId="47" fillId="14" borderId="252" xfId="0" applyFont="1" applyFill="1" applyBorder="1" applyAlignment="1">
      <alignment horizontal="center"/>
    </xf>
    <xf numFmtId="0" fontId="17" fillId="3" borderId="28" xfId="0" applyFont="1" applyFill="1" applyBorder="1" applyAlignment="1">
      <alignment horizontal="center"/>
    </xf>
    <xf numFmtId="0" fontId="17" fillId="0" borderId="44" xfId="0" applyFont="1" applyBorder="1" applyAlignment="1">
      <alignment horizontal="center"/>
    </xf>
    <xf numFmtId="0" fontId="17" fillId="3" borderId="3" xfId="0" applyFont="1" applyFill="1" applyBorder="1" applyAlignment="1">
      <alignment horizontal="center"/>
    </xf>
    <xf numFmtId="0" fontId="17" fillId="8" borderId="16" xfId="0" applyFont="1" applyFill="1" applyBorder="1" applyAlignment="1">
      <alignment horizontal="center"/>
    </xf>
    <xf numFmtId="0" fontId="17" fillId="14" borderId="32" xfId="0" applyFont="1" applyFill="1" applyBorder="1" applyAlignment="1">
      <alignment horizontal="center"/>
    </xf>
    <xf numFmtId="0" fontId="17" fillId="14" borderId="40" xfId="0" applyFont="1" applyFill="1" applyBorder="1" applyAlignment="1">
      <alignment horizontal="center"/>
    </xf>
    <xf numFmtId="0" fontId="18" fillId="0" borderId="2" xfId="0" applyFont="1" applyBorder="1" applyAlignment="1">
      <alignment horizontal="center"/>
    </xf>
    <xf numFmtId="164" fontId="17" fillId="0" borderId="40" xfId="0" applyNumberFormat="1" applyFont="1" applyBorder="1" applyAlignment="1">
      <alignment horizontal="center"/>
    </xf>
    <xf numFmtId="164" fontId="17" fillId="0" borderId="32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0" fontId="17" fillId="16" borderId="1" xfId="0" applyFont="1" applyFill="1" applyBorder="1" applyAlignment="1">
      <alignment horizontal="center"/>
    </xf>
    <xf numFmtId="0" fontId="17" fillId="16" borderId="27" xfId="0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0" fontId="17" fillId="3" borderId="27" xfId="0" applyFont="1" applyFill="1" applyBorder="1" applyAlignment="1">
      <alignment horizontal="center"/>
    </xf>
    <xf numFmtId="0" fontId="17" fillId="0" borderId="27" xfId="0" applyFont="1" applyBorder="1" applyAlignment="1">
      <alignment horizontal="center"/>
    </xf>
    <xf numFmtId="0" fontId="17" fillId="14" borderId="1" xfId="0" applyFont="1" applyFill="1" applyBorder="1" applyAlignment="1">
      <alignment horizontal="center"/>
    </xf>
    <xf numFmtId="0" fontId="17" fillId="14" borderId="16" xfId="0" applyFont="1" applyFill="1" applyBorder="1" applyAlignment="1">
      <alignment horizontal="center"/>
    </xf>
    <xf numFmtId="164" fontId="17" fillId="0" borderId="44" xfId="0" applyNumberFormat="1" applyFont="1" applyBorder="1" applyAlignment="1">
      <alignment horizontal="center"/>
    </xf>
    <xf numFmtId="0" fontId="17" fillId="44" borderId="44" xfId="0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/>
    </xf>
    <xf numFmtId="0" fontId="17" fillId="54" borderId="40" xfId="0" applyFont="1" applyFill="1" applyBorder="1" applyAlignment="1">
      <alignment horizontal="center"/>
    </xf>
    <xf numFmtId="0" fontId="17" fillId="54" borderId="43" xfId="0" applyFont="1" applyFill="1" applyBorder="1" applyAlignment="1">
      <alignment horizontal="center"/>
    </xf>
    <xf numFmtId="165" fontId="17" fillId="0" borderId="5" xfId="0" applyNumberFormat="1" applyFont="1" applyBorder="1" applyAlignment="1">
      <alignment horizontal="center"/>
    </xf>
    <xf numFmtId="0" fontId="17" fillId="0" borderId="28" xfId="0" applyFont="1" applyBorder="1" applyAlignment="1">
      <alignment horizontal="center"/>
    </xf>
    <xf numFmtId="0" fontId="17" fillId="0" borderId="40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17" fillId="3" borderId="16" xfId="0" applyFont="1" applyFill="1" applyBorder="1" applyAlignment="1">
      <alignment horizontal="center"/>
    </xf>
    <xf numFmtId="0" fontId="17" fillId="28" borderId="16" xfId="0" applyFont="1" applyFill="1" applyBorder="1" applyAlignment="1">
      <alignment horizontal="center"/>
    </xf>
    <xf numFmtId="164" fontId="17" fillId="0" borderId="1" xfId="0" applyNumberFormat="1" applyFont="1" applyBorder="1" applyAlignment="1">
      <alignment horizontal="center"/>
    </xf>
    <xf numFmtId="164" fontId="17" fillId="0" borderId="24" xfId="0" applyNumberFormat="1" applyFont="1" applyBorder="1" applyAlignment="1">
      <alignment horizontal="center"/>
    </xf>
    <xf numFmtId="164" fontId="17" fillId="0" borderId="27" xfId="0" applyNumberFormat="1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165" fontId="17" fillId="44" borderId="44" xfId="0" applyNumberFormat="1" applyFont="1" applyFill="1" applyBorder="1" applyAlignment="1">
      <alignment horizontal="center"/>
    </xf>
    <xf numFmtId="165" fontId="17" fillId="0" borderId="44" xfId="0" applyNumberFormat="1" applyFont="1" applyBorder="1" applyAlignment="1">
      <alignment horizontal="center"/>
    </xf>
    <xf numFmtId="165" fontId="17" fillId="54" borderId="44" xfId="0" applyNumberFormat="1" applyFont="1" applyFill="1" applyBorder="1" applyAlignment="1">
      <alignment horizontal="center"/>
    </xf>
    <xf numFmtId="165" fontId="17" fillId="3" borderId="44" xfId="0" applyNumberFormat="1" applyFont="1" applyFill="1" applyBorder="1" applyAlignment="1">
      <alignment horizontal="center"/>
    </xf>
    <xf numFmtId="165" fontId="17" fillId="0" borderId="40" xfId="0" applyNumberFormat="1" applyFont="1" applyBorder="1" applyAlignment="1">
      <alignment horizontal="center"/>
    </xf>
    <xf numFmtId="165" fontId="17" fillId="3" borderId="40" xfId="0" applyNumberFormat="1" applyFont="1" applyFill="1" applyBorder="1" applyAlignment="1">
      <alignment horizontal="center"/>
    </xf>
    <xf numFmtId="165" fontId="17" fillId="0" borderId="43" xfId="0" applyNumberFormat="1" applyFont="1" applyBorder="1" applyAlignment="1">
      <alignment horizontal="center"/>
    </xf>
    <xf numFmtId="165" fontId="17" fillId="16" borderId="1" xfId="0" applyNumberFormat="1" applyFont="1" applyFill="1" applyBorder="1" applyAlignment="1">
      <alignment horizontal="center"/>
    </xf>
    <xf numFmtId="165" fontId="17" fillId="16" borderId="27" xfId="0" applyNumberFormat="1" applyFont="1" applyFill="1" applyBorder="1" applyAlignment="1">
      <alignment horizontal="center"/>
    </xf>
    <xf numFmtId="0" fontId="17" fillId="3" borderId="32" xfId="0" applyFont="1" applyFill="1" applyBorder="1" applyAlignment="1">
      <alignment horizontal="center"/>
    </xf>
    <xf numFmtId="0" fontId="17" fillId="14" borderId="44" xfId="0" applyFont="1" applyFill="1" applyBorder="1" applyAlignment="1">
      <alignment horizontal="center"/>
    </xf>
    <xf numFmtId="0" fontId="16" fillId="3" borderId="0" xfId="0" applyFont="1" applyFill="1"/>
    <xf numFmtId="0" fontId="0" fillId="0" borderId="0" xfId="0" applyAlignment="1">
      <alignment horizontal="center"/>
    </xf>
    <xf numFmtId="165" fontId="17" fillId="3" borderId="21" xfId="0" applyNumberFormat="1" applyFont="1" applyFill="1" applyBorder="1" applyAlignment="1">
      <alignment horizontal="center"/>
    </xf>
    <xf numFmtId="165" fontId="17" fillId="14" borderId="44" xfId="0" applyNumberFormat="1" applyFont="1" applyFill="1" applyBorder="1" applyAlignment="1">
      <alignment horizontal="center"/>
    </xf>
    <xf numFmtId="165" fontId="17" fillId="8" borderId="21" xfId="0" applyNumberFormat="1" applyFont="1" applyFill="1" applyBorder="1" applyAlignment="1">
      <alignment horizontal="center"/>
    </xf>
    <xf numFmtId="165" fontId="17" fillId="0" borderId="21" xfId="0" applyNumberFormat="1" applyFont="1" applyBorder="1" applyAlignment="1">
      <alignment horizontal="center"/>
    </xf>
    <xf numFmtId="165" fontId="17" fillId="28" borderId="21" xfId="0" applyNumberFormat="1" applyFont="1" applyFill="1" applyBorder="1" applyAlignment="1">
      <alignment horizontal="center"/>
    </xf>
    <xf numFmtId="165" fontId="17" fillId="3" borderId="1" xfId="0" applyNumberFormat="1" applyFont="1" applyFill="1" applyBorder="1" applyAlignment="1">
      <alignment horizontal="center"/>
    </xf>
    <xf numFmtId="165" fontId="17" fillId="3" borderId="27" xfId="0" applyNumberFormat="1" applyFont="1" applyFill="1" applyBorder="1" applyAlignment="1">
      <alignment horizontal="center"/>
    </xf>
    <xf numFmtId="165" fontId="17" fillId="0" borderId="1" xfId="0" applyNumberFormat="1" applyFont="1" applyBorder="1" applyAlignment="1">
      <alignment horizontal="center"/>
    </xf>
    <xf numFmtId="165" fontId="17" fillId="0" borderId="27" xfId="0" applyNumberFormat="1" applyFont="1" applyBorder="1" applyAlignment="1">
      <alignment horizontal="center"/>
    </xf>
    <xf numFmtId="0" fontId="0" fillId="0" borderId="93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5" fontId="49" fillId="64" borderId="226" xfId="0" applyNumberFormat="1" applyFont="1" applyFill="1" applyBorder="1" applyAlignment="1">
      <alignment horizontal="center" vertical="center"/>
    </xf>
    <xf numFmtId="165" fontId="49" fillId="64" borderId="225" xfId="0" applyNumberFormat="1" applyFont="1" applyFill="1" applyBorder="1" applyAlignment="1">
      <alignment horizontal="center" vertical="center"/>
    </xf>
    <xf numFmtId="165" fontId="49" fillId="64" borderId="235" xfId="0" applyNumberFormat="1" applyFont="1" applyFill="1" applyBorder="1" applyAlignment="1">
      <alignment horizontal="center" vertical="center"/>
    </xf>
    <xf numFmtId="165" fontId="42" fillId="3" borderId="5" xfId="0" applyNumberFormat="1" applyFont="1" applyFill="1" applyBorder="1" applyAlignment="1">
      <alignment horizontal="center" vertical="center"/>
    </xf>
    <xf numFmtId="165" fontId="42" fillId="3" borderId="4" xfId="0" applyNumberFormat="1" applyFont="1" applyFill="1" applyBorder="1" applyAlignment="1">
      <alignment horizontal="center" vertical="center"/>
    </xf>
    <xf numFmtId="165" fontId="42" fillId="3" borderId="3" xfId="0" applyNumberFormat="1" applyFont="1" applyFill="1" applyBorder="1" applyAlignment="1">
      <alignment horizontal="center" vertical="center"/>
    </xf>
    <xf numFmtId="0" fontId="6" fillId="35" borderId="5" xfId="0" applyFont="1" applyFill="1" applyBorder="1" applyAlignment="1">
      <alignment horizontal="center"/>
    </xf>
    <xf numFmtId="0" fontId="6" fillId="35" borderId="2" xfId="0" applyFont="1" applyFill="1" applyBorder="1" applyAlignment="1">
      <alignment horizontal="center"/>
    </xf>
    <xf numFmtId="0" fontId="0" fillId="0" borderId="126" xfId="0" applyBorder="1" applyAlignment="1">
      <alignment horizontal="center"/>
    </xf>
    <xf numFmtId="0" fontId="0" fillId="0" borderId="127" xfId="0" applyBorder="1" applyAlignment="1">
      <alignment horizontal="center"/>
    </xf>
    <xf numFmtId="164" fontId="2" fillId="3" borderId="120" xfId="0" applyNumberFormat="1" applyFont="1" applyFill="1" applyBorder="1" applyAlignment="1">
      <alignment horizontal="center"/>
    </xf>
    <xf numFmtId="164" fontId="2" fillId="3" borderId="122" xfId="0" applyNumberFormat="1" applyFont="1" applyFill="1" applyBorder="1" applyAlignment="1">
      <alignment horizontal="center"/>
    </xf>
    <xf numFmtId="164" fontId="2" fillId="3" borderId="124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2" fillId="3" borderId="24" xfId="0" applyNumberFormat="1" applyFont="1" applyFill="1" applyBorder="1" applyAlignment="1">
      <alignment horizontal="center"/>
    </xf>
    <xf numFmtId="164" fontId="2" fillId="3" borderId="27" xfId="0" applyNumberFormat="1" applyFont="1" applyFill="1" applyBorder="1" applyAlignment="1">
      <alignment horizontal="center"/>
    </xf>
    <xf numFmtId="0" fontId="2" fillId="0" borderId="121" xfId="0" applyFont="1" applyBorder="1" applyAlignment="1">
      <alignment horizontal="center"/>
    </xf>
    <xf numFmtId="0" fontId="2" fillId="0" borderId="142" xfId="0" applyFont="1" applyBorder="1" applyAlignment="1">
      <alignment horizontal="center"/>
    </xf>
    <xf numFmtId="0" fontId="42" fillId="3" borderId="125" xfId="0" applyFont="1" applyFill="1" applyBorder="1" applyAlignment="1">
      <alignment horizontal="center"/>
    </xf>
    <xf numFmtId="0" fontId="42" fillId="3" borderId="27" xfId="0" applyFont="1" applyFill="1" applyBorder="1" applyAlignment="1">
      <alignment horizontal="center"/>
    </xf>
    <xf numFmtId="0" fontId="42" fillId="3" borderId="1" xfId="0" applyFont="1" applyFill="1" applyBorder="1" applyAlignment="1">
      <alignment horizontal="center"/>
    </xf>
    <xf numFmtId="0" fontId="42" fillId="3" borderId="5" xfId="0" applyFont="1" applyFill="1" applyBorder="1" applyAlignment="1">
      <alignment horizontal="center"/>
    </xf>
    <xf numFmtId="0" fontId="42" fillId="3" borderId="3" xfId="0" applyFont="1" applyFill="1" applyBorder="1" applyAlignment="1">
      <alignment horizontal="center"/>
    </xf>
    <xf numFmtId="165" fontId="42" fillId="16" borderId="5" xfId="0" applyNumberFormat="1" applyFont="1" applyFill="1" applyBorder="1" applyAlignment="1">
      <alignment horizontal="center" vertical="center"/>
    </xf>
    <xf numFmtId="165" fontId="42" fillId="16" borderId="3" xfId="0" applyNumberFormat="1" applyFont="1" applyFill="1" applyBorder="1" applyAlignment="1">
      <alignment horizontal="center" vertical="center"/>
    </xf>
    <xf numFmtId="0" fontId="42" fillId="16" borderId="1" xfId="0" applyFont="1" applyFill="1" applyBorder="1" applyAlignment="1">
      <alignment horizontal="center"/>
    </xf>
    <xf numFmtId="0" fontId="42" fillId="16" borderId="27" xfId="0" applyFont="1" applyFill="1" applyBorder="1" applyAlignment="1">
      <alignment horizontal="center"/>
    </xf>
    <xf numFmtId="165" fontId="42" fillId="28" borderId="5" xfId="0" applyNumberFormat="1" applyFont="1" applyFill="1" applyBorder="1" applyAlignment="1">
      <alignment horizontal="center" vertical="center"/>
    </xf>
    <xf numFmtId="165" fontId="42" fillId="28" borderId="4" xfId="0" applyNumberFormat="1" applyFont="1" applyFill="1" applyBorder="1" applyAlignment="1">
      <alignment horizontal="center" vertical="center"/>
    </xf>
    <xf numFmtId="165" fontId="42" fillId="38" borderId="5" xfId="0" applyNumberFormat="1" applyFont="1" applyFill="1" applyBorder="1" applyAlignment="1">
      <alignment horizontal="center" vertical="center"/>
    </xf>
    <xf numFmtId="165" fontId="42" fillId="38" borderId="4" xfId="0" applyNumberFormat="1" applyFont="1" applyFill="1" applyBorder="1" applyAlignment="1">
      <alignment horizontal="center" vertical="center"/>
    </xf>
    <xf numFmtId="165" fontId="42" fillId="50" borderId="5" xfId="0" applyNumberFormat="1" applyFont="1" applyFill="1" applyBorder="1" applyAlignment="1">
      <alignment horizontal="center" vertical="center"/>
    </xf>
    <xf numFmtId="165" fontId="42" fillId="3" borderId="2" xfId="0" applyNumberFormat="1" applyFont="1" applyFill="1" applyBorder="1" applyAlignment="1">
      <alignment horizontal="center" vertical="center"/>
    </xf>
    <xf numFmtId="0" fontId="42" fillId="50" borderId="1" xfId="0" applyFont="1" applyFill="1" applyBorder="1" applyAlignment="1">
      <alignment horizontal="center"/>
    </xf>
    <xf numFmtId="0" fontId="42" fillId="3" borderId="43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42" fillId="28" borderId="1" xfId="0" applyFont="1" applyFill="1" applyBorder="1" applyAlignment="1">
      <alignment horizontal="center"/>
    </xf>
    <xf numFmtId="0" fontId="42" fillId="28" borderId="27" xfId="0" applyFont="1" applyFill="1" applyBorder="1" applyAlignment="1">
      <alignment horizontal="center"/>
    </xf>
    <xf numFmtId="0" fontId="53" fillId="0" borderId="2" xfId="0" applyFont="1" applyBorder="1" applyAlignment="1">
      <alignment horizontal="center"/>
    </xf>
    <xf numFmtId="0" fontId="53" fillId="0" borderId="145" xfId="0" applyFont="1" applyBorder="1" applyAlignment="1">
      <alignment horizontal="center"/>
    </xf>
    <xf numFmtId="164" fontId="42" fillId="0" borderId="1" xfId="0" applyNumberFormat="1" applyFont="1" applyBorder="1" applyAlignment="1">
      <alignment horizontal="center"/>
    </xf>
    <xf numFmtId="164" fontId="42" fillId="0" borderId="24" xfId="0" applyNumberFormat="1" applyFont="1" applyBorder="1" applyAlignment="1">
      <alignment horizontal="center"/>
    </xf>
    <xf numFmtId="164" fontId="42" fillId="0" borderId="27" xfId="0" applyNumberFormat="1" applyFont="1" applyBorder="1" applyAlignment="1">
      <alignment horizontal="center"/>
    </xf>
    <xf numFmtId="0" fontId="42" fillId="35" borderId="144" xfId="0" applyFont="1" applyFill="1" applyBorder="1" applyAlignment="1">
      <alignment horizontal="center"/>
    </xf>
    <xf numFmtId="164" fontId="2" fillId="3" borderId="14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0" fontId="42" fillId="38" borderId="125" xfId="0" applyFont="1" applyFill="1" applyBorder="1" applyAlignment="1">
      <alignment horizontal="center"/>
    </xf>
    <xf numFmtId="0" fontId="42" fillId="0" borderId="1" xfId="0" applyFont="1" applyBorder="1" applyAlignment="1">
      <alignment horizontal="center"/>
    </xf>
    <xf numFmtId="164" fontId="2" fillId="3" borderId="121" xfId="0" applyNumberFormat="1" applyFont="1" applyFill="1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112" xfId="0" applyBorder="1" applyAlignment="1">
      <alignment horizontal="center"/>
    </xf>
    <xf numFmtId="0" fontId="0" fillId="0" borderId="73" xfId="0" applyBorder="1" applyAlignment="1">
      <alignment horizontal="center"/>
    </xf>
    <xf numFmtId="0" fontId="2" fillId="0" borderId="0" xfId="0" applyFont="1" applyAlignment="1">
      <alignment horizontal="center"/>
    </xf>
    <xf numFmtId="165" fontId="2" fillId="3" borderId="5" xfId="0" applyNumberFormat="1" applyFont="1" applyFill="1" applyBorder="1" applyAlignment="1">
      <alignment horizontal="center"/>
    </xf>
    <xf numFmtId="165" fontId="2" fillId="3" borderId="28" xfId="0" applyNumberFormat="1" applyFont="1" applyFill="1" applyBorder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3" borderId="4" xfId="0" applyNumberFormat="1" applyFont="1" applyFill="1" applyBorder="1" applyAlignment="1">
      <alignment horizontal="center"/>
    </xf>
    <xf numFmtId="165" fontId="2" fillId="3" borderId="138" xfId="0" applyNumberFormat="1" applyFont="1" applyFill="1" applyBorder="1" applyAlignment="1">
      <alignment horizontal="center"/>
    </xf>
    <xf numFmtId="165" fontId="2" fillId="3" borderId="123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4" xfId="0" applyFont="1" applyFill="1" applyBorder="1" applyAlignment="1">
      <alignment horizontal="center"/>
    </xf>
    <xf numFmtId="0" fontId="6" fillId="4" borderId="27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7" fontId="2" fillId="0" borderId="5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20" xfId="0" applyFont="1" applyFill="1" applyBorder="1" applyAlignment="1">
      <alignment horizontal="center"/>
    </xf>
    <xf numFmtId="0" fontId="2" fillId="3" borderId="135" xfId="0" applyFont="1" applyFill="1" applyBorder="1" applyAlignment="1">
      <alignment horizontal="center"/>
    </xf>
    <xf numFmtId="0" fontId="2" fillId="3" borderId="136" xfId="0" applyFont="1" applyFill="1" applyBorder="1" applyAlignment="1">
      <alignment horizontal="center"/>
    </xf>
    <xf numFmtId="0" fontId="2" fillId="0" borderId="136" xfId="0" applyFont="1" applyBorder="1" applyAlignment="1">
      <alignment horizontal="center"/>
    </xf>
    <xf numFmtId="0" fontId="2" fillId="0" borderId="135" xfId="0" applyFont="1" applyBorder="1" applyAlignment="1">
      <alignment horizontal="center"/>
    </xf>
    <xf numFmtId="0" fontId="2" fillId="3" borderId="124" xfId="0" applyFont="1" applyFill="1" applyBorder="1" applyAlignment="1">
      <alignment horizontal="center"/>
    </xf>
    <xf numFmtId="0" fontId="2" fillId="0" borderId="137" xfId="0" applyFont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/>
    </xf>
    <xf numFmtId="0" fontId="2" fillId="3" borderId="33" xfId="0" applyFont="1" applyFill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60" borderId="121" xfId="0" applyFont="1" applyFill="1" applyBorder="1" applyAlignment="1">
      <alignment horizontal="center"/>
    </xf>
    <xf numFmtId="0" fontId="2" fillId="60" borderId="135" xfId="0" applyFont="1" applyFill="1" applyBorder="1" applyAlignment="1">
      <alignment horizontal="center"/>
    </xf>
    <xf numFmtId="0" fontId="2" fillId="60" borderId="136" xfId="0" applyFont="1" applyFill="1" applyBorder="1" applyAlignment="1">
      <alignment horizontal="center"/>
    </xf>
    <xf numFmtId="0" fontId="2" fillId="60" borderId="137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24" xfId="0" applyNumberFormat="1" applyFont="1" applyBorder="1" applyAlignment="1">
      <alignment horizontal="center"/>
    </xf>
    <xf numFmtId="164" fontId="2" fillId="0" borderId="27" xfId="0" applyNumberFormat="1" applyFont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28" xfId="0" applyNumberFormat="1" applyFont="1" applyBorder="1" applyAlignment="1">
      <alignment horizontal="center"/>
    </xf>
    <xf numFmtId="165" fontId="2" fillId="55" borderId="5" xfId="0" applyNumberFormat="1" applyFont="1" applyFill="1" applyBorder="1" applyAlignment="1">
      <alignment horizontal="center"/>
    </xf>
    <xf numFmtId="165" fontId="2" fillId="55" borderId="28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6" fillId="3" borderId="67" xfId="0" applyFont="1" applyFill="1" applyBorder="1" applyAlignment="1">
      <alignment horizontal="center"/>
    </xf>
    <xf numFmtId="0" fontId="6" fillId="3" borderId="112" xfId="0" applyFont="1" applyFill="1" applyBorder="1" applyAlignment="1">
      <alignment horizontal="center"/>
    </xf>
    <xf numFmtId="0" fontId="6" fillId="3" borderId="73" xfId="0" applyFont="1" applyFill="1" applyBorder="1" applyAlignment="1">
      <alignment horizontal="center"/>
    </xf>
    <xf numFmtId="0" fontId="0" fillId="3" borderId="67" xfId="0" applyFill="1" applyBorder="1" applyAlignment="1">
      <alignment horizontal="center"/>
    </xf>
    <xf numFmtId="164" fontId="2" fillId="3" borderId="3" xfId="0" applyNumberFormat="1" applyFont="1" applyFill="1" applyBorder="1" applyAlignment="1">
      <alignment horizontal="center"/>
    </xf>
    <xf numFmtId="164" fontId="2" fillId="3" borderId="4" xfId="0" applyNumberFormat="1" applyFont="1" applyFill="1" applyBorder="1" applyAlignment="1">
      <alignment horizontal="center"/>
    </xf>
    <xf numFmtId="17" fontId="2" fillId="3" borderId="5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21" xfId="0" applyFont="1" applyFill="1" applyBorder="1" applyAlignment="1">
      <alignment horizontal="center"/>
    </xf>
    <xf numFmtId="0" fontId="2" fillId="3" borderId="137" xfId="0" applyFont="1" applyFill="1" applyBorder="1" applyAlignment="1">
      <alignment horizontal="center"/>
    </xf>
    <xf numFmtId="165" fontId="17" fillId="3" borderId="3" xfId="0" applyNumberFormat="1" applyFont="1" applyFill="1" applyBorder="1" applyAlignment="1">
      <alignment horizontal="center"/>
    </xf>
    <xf numFmtId="165" fontId="17" fillId="3" borderId="5" xfId="0" applyNumberFormat="1" applyFont="1" applyFill="1" applyBorder="1" applyAlignment="1">
      <alignment horizontal="center"/>
    </xf>
    <xf numFmtId="0" fontId="17" fillId="3" borderId="24" xfId="0" applyFont="1" applyFill="1" applyBorder="1" applyAlignment="1">
      <alignment horizontal="center"/>
    </xf>
    <xf numFmtId="0" fontId="17" fillId="0" borderId="24" xfId="0" applyFont="1" applyBorder="1" applyAlignment="1">
      <alignment horizontal="center"/>
    </xf>
    <xf numFmtId="0" fontId="0" fillId="3" borderId="0" xfId="0" applyFill="1" applyAlignment="1">
      <alignment horizontal="center"/>
    </xf>
    <xf numFmtId="0" fontId="17" fillId="14" borderId="43" xfId="0" applyFont="1" applyFill="1" applyBorder="1" applyAlignment="1">
      <alignment horizontal="center"/>
    </xf>
    <xf numFmtId="0" fontId="17" fillId="3" borderId="44" xfId="0" applyFont="1" applyFill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3" borderId="33" xfId="0" applyFont="1" applyFill="1" applyBorder="1" applyAlignment="1">
      <alignment horizontal="center"/>
    </xf>
    <xf numFmtId="0" fontId="17" fillId="3" borderId="42" xfId="0" applyFont="1" applyFill="1" applyBorder="1" applyAlignment="1">
      <alignment horizontal="center"/>
    </xf>
    <xf numFmtId="0" fontId="17" fillId="3" borderId="2" xfId="0" applyFont="1" applyFill="1" applyBorder="1" applyAlignment="1">
      <alignment horizontal="center"/>
    </xf>
    <xf numFmtId="0" fontId="17" fillId="0" borderId="42" xfId="0" applyFont="1" applyBorder="1" applyAlignment="1">
      <alignment horizontal="center"/>
    </xf>
    <xf numFmtId="165" fontId="17" fillId="0" borderId="2" xfId="0" applyNumberFormat="1" applyFont="1" applyBorder="1" applyAlignment="1">
      <alignment horizontal="center"/>
    </xf>
    <xf numFmtId="165" fontId="17" fillId="3" borderId="2" xfId="0" applyNumberFormat="1" applyFont="1" applyFill="1" applyBorder="1" applyAlignment="1">
      <alignment horizontal="center"/>
    </xf>
    <xf numFmtId="0" fontId="17" fillId="0" borderId="32" xfId="0" applyFont="1" applyBorder="1" applyAlignment="1">
      <alignment horizontal="center"/>
    </xf>
    <xf numFmtId="165" fontId="17" fillId="0" borderId="28" xfId="0" applyNumberFormat="1" applyFont="1" applyBorder="1" applyAlignment="1">
      <alignment horizontal="center"/>
    </xf>
    <xf numFmtId="165" fontId="17" fillId="0" borderId="62" xfId="0" applyNumberFormat="1" applyFont="1" applyBorder="1" applyAlignment="1">
      <alignment horizontal="center"/>
    </xf>
    <xf numFmtId="0" fontId="2" fillId="4" borderId="40" xfId="2" applyFont="1" applyFill="1" applyBorder="1" applyAlignment="1">
      <alignment horizontal="center"/>
    </xf>
    <xf numFmtId="0" fontId="11" fillId="4" borderId="41" xfId="2" applyFont="1" applyFill="1" applyBorder="1" applyAlignment="1">
      <alignment horizontal="center"/>
    </xf>
    <xf numFmtId="0" fontId="2" fillId="4" borderId="41" xfId="2" applyFont="1" applyFill="1" applyBorder="1" applyAlignment="1">
      <alignment horizontal="center"/>
    </xf>
    <xf numFmtId="0" fontId="6" fillId="35" borderId="144" xfId="0" applyFont="1" applyFill="1" applyBorder="1" applyAlignment="1">
      <alignment horizontal="center"/>
    </xf>
    <xf numFmtId="0" fontId="6" fillId="35" borderId="258" xfId="0" applyFont="1" applyFill="1" applyBorder="1" applyAlignment="1">
      <alignment horizontal="center"/>
    </xf>
    <xf numFmtId="0" fontId="6" fillId="35" borderId="259" xfId="0" applyFont="1" applyFill="1" applyBorder="1" applyAlignment="1">
      <alignment horizontal="center"/>
    </xf>
    <xf numFmtId="0" fontId="2" fillId="0" borderId="258" xfId="0" applyFont="1" applyBorder="1" applyAlignment="1">
      <alignment horizontal="center"/>
    </xf>
    <xf numFmtId="0" fontId="2" fillId="0" borderId="259" xfId="0" applyFont="1" applyBorder="1" applyAlignment="1">
      <alignment horizontal="center"/>
    </xf>
    <xf numFmtId="0" fontId="2" fillId="0" borderId="161" xfId="0" applyFont="1" applyBorder="1" applyAlignment="1">
      <alignment horizontal="center"/>
    </xf>
    <xf numFmtId="0" fontId="42" fillId="3" borderId="121" xfId="0" applyFont="1" applyFill="1" applyBorder="1" applyAlignment="1">
      <alignment horizontal="center"/>
    </xf>
    <xf numFmtId="0" fontId="42" fillId="3" borderId="137" xfId="0" applyFont="1" applyFill="1" applyBorder="1" applyAlignment="1">
      <alignment horizontal="center"/>
    </xf>
    <xf numFmtId="0" fontId="42" fillId="3" borderId="260" xfId="0" applyFont="1" applyFill="1" applyBorder="1" applyAlignment="1">
      <alignment horizontal="center"/>
    </xf>
    <xf numFmtId="165" fontId="42" fillId="3" borderId="123" xfId="0" applyNumberFormat="1" applyFont="1" applyFill="1" applyBorder="1" applyAlignment="1">
      <alignment horizontal="center" vertical="center"/>
    </xf>
    <xf numFmtId="0" fontId="42" fillId="3" borderId="24" xfId="0" applyFont="1" applyFill="1" applyBorder="1" applyAlignment="1">
      <alignment horizontal="center"/>
    </xf>
    <xf numFmtId="0" fontId="42" fillId="3" borderId="144" xfId="0" applyFont="1" applyFill="1" applyBorder="1" applyAlignment="1">
      <alignment horizontal="center"/>
    </xf>
    <xf numFmtId="0" fontId="42" fillId="3" borderId="146" xfId="0" applyFont="1" applyFill="1" applyBorder="1" applyAlignment="1">
      <alignment horizontal="center"/>
    </xf>
    <xf numFmtId="0" fontId="42" fillId="3" borderId="124" xfId="0" applyFont="1" applyFill="1" applyBorder="1" applyAlignment="1">
      <alignment horizontal="center"/>
    </xf>
    <xf numFmtId="165" fontId="42" fillId="3" borderId="138" xfId="0" applyNumberFormat="1" applyFont="1" applyFill="1" applyBorder="1" applyAlignment="1">
      <alignment horizontal="center" vertical="center"/>
    </xf>
    <xf numFmtId="0" fontId="43" fillId="0" borderId="16" xfId="0" applyFont="1" applyFill="1" applyBorder="1" applyAlignment="1">
      <alignment horizontal="left" vertical="center"/>
    </xf>
    <xf numFmtId="20" fontId="44" fillId="0" borderId="16" xfId="0" applyNumberFormat="1" applyFont="1" applyFill="1" applyBorder="1" applyAlignment="1">
      <alignment horizontal="center"/>
    </xf>
    <xf numFmtId="0" fontId="3" fillId="0" borderId="16" xfId="0" applyFont="1" applyFill="1" applyBorder="1" applyAlignment="1">
      <alignment horizontal="left" vertical="center"/>
    </xf>
    <xf numFmtId="20" fontId="14" fillId="0" borderId="16" xfId="0" applyNumberFormat="1" applyFont="1" applyFill="1" applyBorder="1" applyAlignment="1">
      <alignment horizontal="center"/>
    </xf>
    <xf numFmtId="0" fontId="32" fillId="0" borderId="16" xfId="0" applyFont="1" applyFill="1" applyBorder="1" applyAlignment="1">
      <alignment horizontal="left" vertical="center"/>
    </xf>
    <xf numFmtId="20" fontId="14" fillId="0" borderId="16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2" xr:uid="{C9918683-A834-4EA8-8E46-5D2EB611E4EB}"/>
    <cellStyle name="Normal_Hoja1 2" xfId="1" xr:uid="{F3031008-812F-47B3-AACC-09E421BCE243}"/>
  </cellStyles>
  <dxfs count="0"/>
  <tableStyles count="0" defaultTableStyle="TableStyleMedium2" defaultPivotStyle="PivotStyleLight16"/>
  <colors>
    <mruColors>
      <color rgb="FFE7D3FD"/>
      <color rgb="FFB9E8F9"/>
      <color rgb="FFFDCBDE"/>
      <color rgb="FFFFB66D"/>
      <color rgb="FFCCFF99"/>
      <color rgb="FFA78CCE"/>
      <color rgb="FFF47878"/>
      <color rgb="FFCC99FF"/>
      <color rgb="FFA0BDD8"/>
      <color rgb="FFFDBB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D894C-12F9-474F-A6A9-B4C27431CA63}">
  <sheetPr>
    <pageSetUpPr fitToPage="1"/>
  </sheetPr>
  <dimension ref="A1:CD88"/>
  <sheetViews>
    <sheetView zoomScale="80" zoomScaleNormal="80" workbookViewId="0">
      <selection activeCell="I11" sqref="I11"/>
    </sheetView>
  </sheetViews>
  <sheetFormatPr baseColWidth="10" defaultColWidth="11.42578125" defaultRowHeight="15" x14ac:dyDescent="0.25"/>
  <cols>
    <col min="1" max="1" width="23.85546875" customWidth="1"/>
    <col min="2" max="2" width="8.5703125" style="543" customWidth="1"/>
    <col min="3" max="4" width="8.5703125" customWidth="1"/>
    <col min="5" max="5" width="8.42578125" customWidth="1"/>
    <col min="6" max="12" width="8.5703125" customWidth="1"/>
    <col min="13" max="13" width="8.42578125" customWidth="1"/>
    <col min="14" max="14" width="8.5703125" customWidth="1"/>
    <col min="15" max="15" width="8.7109375" customWidth="1"/>
    <col min="16" max="16" width="8.42578125" customWidth="1"/>
    <col min="17" max="17" width="23.85546875" customWidth="1"/>
    <col min="18" max="18" width="7.5703125" customWidth="1"/>
    <col min="19" max="19" width="9.42578125" customWidth="1"/>
    <col min="20" max="20" width="8.7109375" customWidth="1"/>
    <col min="21" max="22" width="8.42578125" customWidth="1"/>
    <col min="23" max="24" width="8.5703125" customWidth="1"/>
    <col min="25" max="28" width="8.7109375" customWidth="1"/>
    <col min="29" max="32" width="8.5703125" customWidth="1"/>
    <col min="33" max="33" width="24" customWidth="1"/>
    <col min="34" max="34" width="7.42578125" customWidth="1"/>
    <col min="35" max="42" width="8.5703125" customWidth="1"/>
    <col min="43" max="43" width="8.42578125" customWidth="1"/>
    <col min="44" max="44" width="8.5703125" customWidth="1"/>
    <col min="45" max="45" width="8.85546875" customWidth="1"/>
    <col min="46" max="46" width="9" customWidth="1"/>
    <col min="47" max="48" width="8.5703125" customWidth="1"/>
    <col min="49" max="49" width="23.85546875" bestFit="1" customWidth="1"/>
    <col min="50" max="50" width="7.7109375" customWidth="1"/>
    <col min="51" max="64" width="8.5703125" customWidth="1"/>
    <col min="65" max="65" width="23.85546875" hidden="1" customWidth="1"/>
    <col min="66" max="66" width="7.7109375" hidden="1" customWidth="1"/>
    <col min="67" max="80" width="8.5703125" hidden="1" customWidth="1"/>
    <col min="82" max="82" width="36.85546875" customWidth="1"/>
  </cols>
  <sheetData>
    <row r="1" spans="1:82" ht="19.5" thickBot="1" x14ac:dyDescent="0.35">
      <c r="A1" s="2118" t="s">
        <v>0</v>
      </c>
      <c r="B1" s="2118"/>
      <c r="C1" s="2118"/>
      <c r="D1" s="2118"/>
      <c r="E1" s="2118"/>
      <c r="F1" s="2118"/>
      <c r="G1" s="2118"/>
      <c r="H1" s="2118"/>
      <c r="I1" s="2118"/>
      <c r="J1" s="2118"/>
      <c r="K1" s="2118"/>
      <c r="L1" s="2118"/>
      <c r="M1" s="2118"/>
      <c r="N1" s="2118"/>
      <c r="O1" s="2118"/>
      <c r="P1" s="2118"/>
      <c r="Q1" s="2130" t="s">
        <v>0</v>
      </c>
      <c r="R1" s="2130"/>
      <c r="S1" s="2130"/>
      <c r="T1" s="2130"/>
      <c r="U1" s="2130"/>
      <c r="V1" s="2130"/>
      <c r="W1" s="2130"/>
      <c r="X1" s="2130"/>
      <c r="Y1" s="2130"/>
      <c r="Z1" s="2130"/>
      <c r="AA1" s="2130"/>
      <c r="AB1" s="2130"/>
      <c r="AC1" s="2130"/>
      <c r="AD1" s="2130"/>
      <c r="AE1" s="2130"/>
      <c r="AF1" s="2130"/>
      <c r="AG1" s="2131" t="s">
        <v>1</v>
      </c>
      <c r="AH1" s="2131"/>
      <c r="AI1" s="2131"/>
      <c r="AJ1" s="2131"/>
      <c r="AK1" s="2131"/>
      <c r="AL1" s="2131"/>
      <c r="AM1" s="2131"/>
      <c r="AN1" s="2131"/>
      <c r="AO1" s="2131"/>
      <c r="AP1" s="2131"/>
      <c r="AQ1" s="2131"/>
      <c r="AR1" s="2131"/>
      <c r="AS1" s="2131"/>
      <c r="AT1" s="2131"/>
      <c r="AU1" s="2131"/>
      <c r="AV1" s="2131"/>
      <c r="AW1" s="2117" t="s">
        <v>1</v>
      </c>
      <c r="AX1" s="2118"/>
      <c r="AY1" s="2118"/>
      <c r="AZ1" s="2118"/>
      <c r="BA1" s="2118"/>
      <c r="BB1" s="2118"/>
      <c r="BC1" s="2118"/>
      <c r="BD1" s="2118"/>
      <c r="BE1" s="2118"/>
      <c r="BF1" s="2118"/>
      <c r="BG1" s="2118"/>
      <c r="BH1" s="2118"/>
      <c r="BI1" s="2118"/>
      <c r="BJ1" s="2118"/>
      <c r="BK1" s="2118"/>
      <c r="BL1" s="2118"/>
      <c r="BM1" s="2117" t="s">
        <v>0</v>
      </c>
      <c r="BN1" s="2117"/>
      <c r="BO1" s="2117"/>
      <c r="BP1" s="2117"/>
      <c r="BQ1" s="2117"/>
      <c r="BR1" s="2117"/>
      <c r="BS1" s="2117"/>
      <c r="BT1" s="2117"/>
      <c r="BU1" s="2117"/>
      <c r="BV1" s="2117"/>
      <c r="BW1" s="2117"/>
      <c r="BX1" s="2117"/>
      <c r="BY1" s="2117"/>
      <c r="BZ1" s="2117"/>
      <c r="CA1" s="2117"/>
      <c r="CB1" s="2117"/>
    </row>
    <row r="2" spans="1:82" ht="19.5" thickBot="1" x14ac:dyDescent="0.35">
      <c r="A2" s="562" t="s">
        <v>2</v>
      </c>
      <c r="B2" s="2119"/>
      <c r="C2" s="2120">
        <v>45050</v>
      </c>
      <c r="D2" s="2120"/>
      <c r="E2" s="2120"/>
      <c r="F2" s="523" t="s">
        <v>3</v>
      </c>
      <c r="G2" s="2121">
        <v>45056</v>
      </c>
      <c r="H2" s="2121"/>
      <c r="I2" s="2121"/>
      <c r="J2" s="2122" t="s">
        <v>4</v>
      </c>
      <c r="K2" s="2122"/>
      <c r="L2" s="2122"/>
      <c r="M2" s="2122"/>
      <c r="N2" s="2122"/>
      <c r="O2" s="2122"/>
      <c r="P2" s="2122"/>
      <c r="Q2" s="562" t="s">
        <v>5</v>
      </c>
      <c r="R2" s="2119"/>
      <c r="S2" s="2143">
        <v>45057</v>
      </c>
      <c r="T2" s="2144"/>
      <c r="U2" s="2145"/>
      <c r="V2" s="22" t="s">
        <v>3</v>
      </c>
      <c r="W2" s="2143">
        <v>45063</v>
      </c>
      <c r="X2" s="2144"/>
      <c r="Y2" s="2145"/>
      <c r="Z2" s="2146" t="s">
        <v>4</v>
      </c>
      <c r="AA2" s="2146"/>
      <c r="AB2" s="2146"/>
      <c r="AC2" s="2146"/>
      <c r="AD2" s="2146"/>
      <c r="AE2" s="2146"/>
      <c r="AF2" s="2146"/>
      <c r="AG2" s="641" t="s">
        <v>2</v>
      </c>
      <c r="AH2" s="2147"/>
      <c r="AI2" s="2124">
        <v>45064</v>
      </c>
      <c r="AJ2" s="2124"/>
      <c r="AK2" s="2124"/>
      <c r="AL2" s="643" t="s">
        <v>3</v>
      </c>
      <c r="AM2" s="2124">
        <v>45070</v>
      </c>
      <c r="AN2" s="2124"/>
      <c r="AO2" s="2124"/>
      <c r="AP2" s="2140" t="s">
        <v>4</v>
      </c>
      <c r="AQ2" s="2140"/>
      <c r="AR2" s="2140"/>
      <c r="AS2" s="2140"/>
      <c r="AT2" s="2140"/>
      <c r="AU2" s="2140"/>
      <c r="AV2" s="2140"/>
      <c r="AW2" s="18" t="s">
        <v>2</v>
      </c>
      <c r="AX2" s="2119"/>
      <c r="AY2" s="2120">
        <v>45071</v>
      </c>
      <c r="AZ2" s="2120"/>
      <c r="BA2" s="2120"/>
      <c r="BB2" s="14" t="s">
        <v>6</v>
      </c>
      <c r="BC2" s="2120">
        <v>45077</v>
      </c>
      <c r="BD2" s="2120"/>
      <c r="BE2" s="2120"/>
      <c r="BF2" s="2122" t="s">
        <v>4</v>
      </c>
      <c r="BG2" s="2122"/>
      <c r="BH2" s="2122"/>
      <c r="BI2" s="2122"/>
      <c r="BJ2" s="2122"/>
      <c r="BK2" s="2122"/>
      <c r="BL2" s="2122"/>
      <c r="BM2" s="18" t="s">
        <v>7</v>
      </c>
      <c r="BN2" s="2119"/>
      <c r="BO2" s="2132">
        <v>44952</v>
      </c>
      <c r="BP2" s="2132"/>
      <c r="BQ2" s="2132"/>
      <c r="BR2" s="22" t="s">
        <v>6</v>
      </c>
      <c r="BS2" s="2132">
        <v>44958</v>
      </c>
      <c r="BT2" s="2132"/>
      <c r="BU2" s="2132"/>
      <c r="BV2" s="2122" t="s">
        <v>8</v>
      </c>
      <c r="BW2" s="2122"/>
      <c r="BX2" s="2122"/>
      <c r="BY2" s="2122"/>
      <c r="BZ2" s="2122"/>
      <c r="CA2" s="2122"/>
      <c r="CB2" s="2122"/>
    </row>
    <row r="3" spans="1:82" ht="19.5" thickBot="1" x14ac:dyDescent="0.35">
      <c r="A3" s="15"/>
      <c r="B3" s="2119"/>
      <c r="C3" s="2133" t="s">
        <v>9</v>
      </c>
      <c r="D3" s="2133"/>
      <c r="E3" s="2134" t="s">
        <v>10</v>
      </c>
      <c r="F3" s="2134"/>
      <c r="G3" s="2135" t="s">
        <v>11</v>
      </c>
      <c r="H3" s="2136"/>
      <c r="I3" s="2113" t="s">
        <v>12</v>
      </c>
      <c r="J3" s="2113"/>
      <c r="K3" s="2114" t="s">
        <v>13</v>
      </c>
      <c r="L3" s="2114"/>
      <c r="M3" s="2134" t="s">
        <v>14</v>
      </c>
      <c r="N3" s="2127"/>
      <c r="O3" s="2139" t="s">
        <v>15</v>
      </c>
      <c r="P3" s="2129"/>
      <c r="Q3" s="15"/>
      <c r="R3" s="2123"/>
      <c r="S3" s="2125" t="s">
        <v>9</v>
      </c>
      <c r="T3" s="2126"/>
      <c r="U3" s="2127" t="s">
        <v>10</v>
      </c>
      <c r="V3" s="2128"/>
      <c r="W3" s="2122" t="s">
        <v>11</v>
      </c>
      <c r="X3" s="2129"/>
      <c r="Y3" s="2127" t="s">
        <v>12</v>
      </c>
      <c r="Z3" s="2127"/>
      <c r="AA3" s="2127" t="s">
        <v>13</v>
      </c>
      <c r="AB3" s="2127"/>
      <c r="AC3" s="2127" t="s">
        <v>14</v>
      </c>
      <c r="AD3" s="2128"/>
      <c r="AE3" s="2115" t="s">
        <v>15</v>
      </c>
      <c r="AF3" s="2115"/>
      <c r="AG3" s="642"/>
      <c r="AH3" s="2147"/>
      <c r="AI3" s="2116" t="s">
        <v>9</v>
      </c>
      <c r="AJ3" s="2116"/>
      <c r="AK3" s="2116" t="s">
        <v>10</v>
      </c>
      <c r="AL3" s="2116"/>
      <c r="AM3" s="2141" t="s">
        <v>11</v>
      </c>
      <c r="AN3" s="2141"/>
      <c r="AO3" s="2141" t="s">
        <v>12</v>
      </c>
      <c r="AP3" s="2141"/>
      <c r="AQ3" s="2142" t="s">
        <v>13</v>
      </c>
      <c r="AR3" s="2142"/>
      <c r="AS3" s="2142" t="s">
        <v>14</v>
      </c>
      <c r="AT3" s="2142"/>
      <c r="AU3" s="2141" t="s">
        <v>15</v>
      </c>
      <c r="AV3" s="2141"/>
      <c r="AW3" s="17"/>
      <c r="AX3" s="2119"/>
      <c r="AY3" s="2158" t="s">
        <v>9</v>
      </c>
      <c r="AZ3" s="2158"/>
      <c r="BA3" s="2118" t="s">
        <v>10</v>
      </c>
      <c r="BB3" s="2118"/>
      <c r="BC3" s="2134" t="s">
        <v>11</v>
      </c>
      <c r="BD3" s="2134"/>
      <c r="BE3" s="2113" t="s">
        <v>12</v>
      </c>
      <c r="BF3" s="2113"/>
      <c r="BG3" s="2114" t="s">
        <v>13</v>
      </c>
      <c r="BH3" s="2114"/>
      <c r="BI3" s="2139" t="s">
        <v>14</v>
      </c>
      <c r="BJ3" s="2139"/>
      <c r="BK3" s="2138" t="s">
        <v>15</v>
      </c>
      <c r="BL3" s="2138"/>
      <c r="BM3" s="17"/>
      <c r="BN3" s="2119"/>
      <c r="BO3" s="2134" t="s">
        <v>9</v>
      </c>
      <c r="BP3" s="2134"/>
      <c r="BQ3" s="2134" t="s">
        <v>10</v>
      </c>
      <c r="BR3" s="2134"/>
      <c r="BS3" s="2134" t="s">
        <v>11</v>
      </c>
      <c r="BT3" s="2134"/>
      <c r="BU3" s="2157" t="s">
        <v>12</v>
      </c>
      <c r="BV3" s="2157"/>
      <c r="BW3" s="2139" t="s">
        <v>13</v>
      </c>
      <c r="BX3" s="2139"/>
      <c r="BY3" s="2138" t="s">
        <v>14</v>
      </c>
      <c r="BZ3" s="2138"/>
      <c r="CA3" s="2139" t="s">
        <v>15</v>
      </c>
      <c r="CB3" s="2139"/>
    </row>
    <row r="4" spans="1:82" ht="19.5" thickBot="1" x14ac:dyDescent="0.35">
      <c r="A4" s="20" t="s">
        <v>16</v>
      </c>
      <c r="B4" s="348" t="s">
        <v>17</v>
      </c>
      <c r="C4" s="2148">
        <v>45078</v>
      </c>
      <c r="D4" s="2148"/>
      <c r="E4" s="2149">
        <v>45079</v>
      </c>
      <c r="F4" s="2149"/>
      <c r="G4" s="2150">
        <v>45080</v>
      </c>
      <c r="H4" s="2150"/>
      <c r="I4" s="2151">
        <v>45081</v>
      </c>
      <c r="J4" s="2151"/>
      <c r="K4" s="2152">
        <v>45082</v>
      </c>
      <c r="L4" s="2152"/>
      <c r="M4" s="2153">
        <v>45083</v>
      </c>
      <c r="N4" s="2153"/>
      <c r="O4" s="2152">
        <v>45084</v>
      </c>
      <c r="P4" s="2154"/>
      <c r="Q4" s="490" t="s">
        <v>16</v>
      </c>
      <c r="R4" s="348" t="s">
        <v>17</v>
      </c>
      <c r="S4" s="2155">
        <v>45085</v>
      </c>
      <c r="T4" s="2156"/>
      <c r="U4" s="2166">
        <v>45086</v>
      </c>
      <c r="V4" s="2167"/>
      <c r="W4" s="2168">
        <v>45087</v>
      </c>
      <c r="X4" s="2169"/>
      <c r="Y4" s="2137">
        <v>45088</v>
      </c>
      <c r="Z4" s="2137"/>
      <c r="AA4" s="2137">
        <v>45089</v>
      </c>
      <c r="AB4" s="2137"/>
      <c r="AC4" s="2137">
        <v>45090</v>
      </c>
      <c r="AD4" s="2137"/>
      <c r="AE4" s="2137">
        <v>45091</v>
      </c>
      <c r="AF4" s="2137"/>
      <c r="AG4" s="641" t="s">
        <v>16</v>
      </c>
      <c r="AH4" s="643" t="s">
        <v>17</v>
      </c>
      <c r="AI4" s="2163">
        <v>45092</v>
      </c>
      <c r="AJ4" s="2163"/>
      <c r="AK4" s="2163">
        <v>45093</v>
      </c>
      <c r="AL4" s="2163"/>
      <c r="AM4" s="2164">
        <v>45094</v>
      </c>
      <c r="AN4" s="2164"/>
      <c r="AO4" s="2164">
        <v>45095</v>
      </c>
      <c r="AP4" s="2164"/>
      <c r="AQ4" s="2165">
        <v>45096</v>
      </c>
      <c r="AR4" s="2165"/>
      <c r="AS4" s="2165">
        <v>45097</v>
      </c>
      <c r="AT4" s="2165"/>
      <c r="AU4" s="2161">
        <v>45098</v>
      </c>
      <c r="AV4" s="2161"/>
      <c r="AW4" s="19" t="s">
        <v>16</v>
      </c>
      <c r="AX4" s="16" t="s">
        <v>17</v>
      </c>
      <c r="AY4" s="2162">
        <v>45071</v>
      </c>
      <c r="AZ4" s="2162"/>
      <c r="BA4" s="2162">
        <v>45072</v>
      </c>
      <c r="BB4" s="2162"/>
      <c r="BC4" s="2149">
        <v>45073</v>
      </c>
      <c r="BD4" s="2149"/>
      <c r="BE4" s="2149">
        <v>45074</v>
      </c>
      <c r="BF4" s="2149"/>
      <c r="BG4" s="2149">
        <v>45075</v>
      </c>
      <c r="BH4" s="2149"/>
      <c r="BI4" s="2149">
        <v>45076</v>
      </c>
      <c r="BJ4" s="2149"/>
      <c r="BK4" s="2149">
        <v>45077</v>
      </c>
      <c r="BL4" s="2149"/>
      <c r="BM4" s="19" t="s">
        <v>16</v>
      </c>
      <c r="BN4" s="16" t="s">
        <v>17</v>
      </c>
      <c r="BO4" s="2149">
        <v>45043</v>
      </c>
      <c r="BP4" s="2149"/>
      <c r="BQ4" s="2149">
        <v>45044</v>
      </c>
      <c r="BR4" s="2149"/>
      <c r="BS4" s="2149">
        <v>45045</v>
      </c>
      <c r="BT4" s="2149"/>
      <c r="BU4" s="2149">
        <v>45046</v>
      </c>
      <c r="BV4" s="2149"/>
      <c r="BW4" s="2149">
        <v>45047</v>
      </c>
      <c r="BX4" s="2149"/>
      <c r="BY4" s="2149">
        <v>45048</v>
      </c>
      <c r="BZ4" s="2149"/>
      <c r="CA4" s="2149">
        <v>45049</v>
      </c>
      <c r="CB4" s="2149"/>
    </row>
    <row r="5" spans="1:82" ht="19.5" thickBot="1" x14ac:dyDescent="0.3">
      <c r="A5" s="817" t="s">
        <v>18</v>
      </c>
      <c r="B5" s="818" t="s">
        <v>19</v>
      </c>
      <c r="C5" s="810" t="s">
        <v>20</v>
      </c>
      <c r="D5" s="811" t="s">
        <v>20</v>
      </c>
      <c r="E5" s="811" t="s">
        <v>20</v>
      </c>
      <c r="F5" s="811" t="s">
        <v>20</v>
      </c>
      <c r="G5" s="811" t="s">
        <v>20</v>
      </c>
      <c r="H5" s="811" t="s">
        <v>20</v>
      </c>
      <c r="I5" s="813" t="s">
        <v>20</v>
      </c>
      <c r="J5" s="814" t="s">
        <v>20</v>
      </c>
      <c r="K5" s="810" t="s">
        <v>20</v>
      </c>
      <c r="L5" s="811" t="s">
        <v>20</v>
      </c>
      <c r="M5" s="811" t="s">
        <v>20</v>
      </c>
      <c r="N5" s="811" t="s">
        <v>20</v>
      </c>
      <c r="O5" s="811" t="s">
        <v>20</v>
      </c>
      <c r="P5" s="814" t="s">
        <v>20</v>
      </c>
      <c r="Q5" s="821" t="s">
        <v>18</v>
      </c>
      <c r="R5" s="822" t="s">
        <v>19</v>
      </c>
      <c r="S5" s="810" t="s">
        <v>20</v>
      </c>
      <c r="T5" s="811" t="s">
        <v>20</v>
      </c>
      <c r="U5" s="811" t="s">
        <v>20</v>
      </c>
      <c r="V5" s="811" t="s">
        <v>20</v>
      </c>
      <c r="W5" s="811" t="s">
        <v>20</v>
      </c>
      <c r="X5" s="811" t="s">
        <v>20</v>
      </c>
      <c r="Y5" s="811" t="s">
        <v>20</v>
      </c>
      <c r="Z5" s="812" t="s">
        <v>20</v>
      </c>
      <c r="AA5" s="810" t="s">
        <v>20</v>
      </c>
      <c r="AB5" s="811" t="s">
        <v>20</v>
      </c>
      <c r="AC5" s="811" t="s">
        <v>20</v>
      </c>
      <c r="AD5" s="811" t="s">
        <v>20</v>
      </c>
      <c r="AE5" s="811" t="s">
        <v>20</v>
      </c>
      <c r="AF5" s="812" t="s">
        <v>20</v>
      </c>
      <c r="AG5" s="666" t="s">
        <v>18</v>
      </c>
      <c r="AH5" s="667" t="s">
        <v>19</v>
      </c>
      <c r="AI5" s="907"/>
      <c r="AJ5" s="908"/>
      <c r="AK5" s="908"/>
      <c r="AL5" s="908"/>
      <c r="AM5" s="908"/>
      <c r="AN5" s="919"/>
      <c r="AO5" s="917"/>
      <c r="AP5" s="917"/>
      <c r="AQ5" s="917"/>
      <c r="AR5" s="917"/>
      <c r="AS5" s="917"/>
      <c r="AT5" s="917"/>
      <c r="AU5" s="917"/>
      <c r="AV5" s="918"/>
      <c r="AW5" s="666" t="s">
        <v>18</v>
      </c>
      <c r="AX5" s="667" t="s">
        <v>19</v>
      </c>
      <c r="AY5" s="354">
        <v>0.6875</v>
      </c>
      <c r="AZ5" s="354">
        <v>0</v>
      </c>
      <c r="BA5" s="354"/>
      <c r="BB5" s="354"/>
      <c r="BC5" s="354"/>
      <c r="BD5" s="354"/>
      <c r="BE5" s="354"/>
      <c r="BF5" s="594"/>
      <c r="BG5" s="419"/>
      <c r="BH5" s="669"/>
      <c r="BI5" s="669"/>
      <c r="BJ5" s="669"/>
      <c r="BK5" s="632"/>
      <c r="BL5" s="633"/>
      <c r="BM5" s="571" t="s">
        <v>18</v>
      </c>
      <c r="BN5" s="32" t="s">
        <v>19</v>
      </c>
      <c r="BO5" s="537"/>
      <c r="BP5" s="255"/>
      <c r="BQ5" s="255"/>
      <c r="BR5" s="255"/>
      <c r="BS5" s="255"/>
      <c r="BT5" s="255"/>
      <c r="BU5" s="579"/>
      <c r="BV5" s="580"/>
      <c r="BW5" s="537"/>
      <c r="BX5" s="255"/>
      <c r="BY5" s="535"/>
      <c r="BZ5" s="535"/>
      <c r="CA5" s="535"/>
      <c r="CB5" s="536"/>
    </row>
    <row r="6" spans="1:82" ht="18.75" x14ac:dyDescent="0.25">
      <c r="A6" s="815" t="s">
        <v>21</v>
      </c>
      <c r="B6" s="816" t="s">
        <v>19</v>
      </c>
      <c r="C6" s="319"/>
      <c r="D6" s="587"/>
      <c r="E6" s="891">
        <v>0.41666666666666669</v>
      </c>
      <c r="F6" s="891">
        <v>0.75</v>
      </c>
      <c r="G6" s="891">
        <v>0.375</v>
      </c>
      <c r="H6" s="891">
        <v>0.70833333333333337</v>
      </c>
      <c r="I6" s="891">
        <v>0.375</v>
      </c>
      <c r="J6" s="892">
        <v>0.70833333333333337</v>
      </c>
      <c r="K6" s="893">
        <v>0.41666666666666669</v>
      </c>
      <c r="L6" s="891">
        <v>0.75</v>
      </c>
      <c r="M6" s="891">
        <v>0.41666666666666669</v>
      </c>
      <c r="N6" s="891">
        <v>0.75</v>
      </c>
      <c r="O6" s="891">
        <v>0.41666666666666669</v>
      </c>
      <c r="P6" s="894">
        <v>0.75</v>
      </c>
      <c r="Q6" s="819" t="s">
        <v>21</v>
      </c>
      <c r="R6" s="820" t="s">
        <v>19</v>
      </c>
      <c r="S6" s="500"/>
      <c r="T6" s="530"/>
      <c r="U6" s="256"/>
      <c r="V6" s="256"/>
      <c r="W6" s="530"/>
      <c r="X6" s="530"/>
      <c r="Y6" s="530"/>
      <c r="Z6" s="534"/>
      <c r="AA6" s="717"/>
      <c r="AB6" s="535"/>
      <c r="AC6" s="535"/>
      <c r="AD6" s="535"/>
      <c r="AE6" s="535"/>
      <c r="AF6" s="536"/>
      <c r="AG6" s="648" t="s">
        <v>21</v>
      </c>
      <c r="AH6" s="649" t="s">
        <v>19</v>
      </c>
      <c r="AI6" s="320"/>
      <c r="AJ6" s="158"/>
      <c r="AK6" s="158"/>
      <c r="AL6" s="158"/>
      <c r="AM6" s="158"/>
      <c r="AN6" s="158"/>
      <c r="AO6" s="158"/>
      <c r="AP6" s="321"/>
      <c r="AQ6" s="320"/>
      <c r="AR6" s="158"/>
      <c r="AS6" s="158"/>
      <c r="AT6" s="158"/>
      <c r="AU6" s="158"/>
      <c r="AV6" s="321"/>
      <c r="AW6" s="648" t="s">
        <v>21</v>
      </c>
      <c r="AX6" s="649" t="s">
        <v>19</v>
      </c>
      <c r="AY6" s="541"/>
      <c r="AZ6" s="539"/>
      <c r="BA6" s="93">
        <v>0.41666666666666669</v>
      </c>
      <c r="BB6" s="93">
        <v>0.75</v>
      </c>
      <c r="BC6" s="93">
        <v>0.41666666666666669</v>
      </c>
      <c r="BD6" s="93">
        <v>0.75</v>
      </c>
      <c r="BE6" s="93">
        <v>0.41666666666666669</v>
      </c>
      <c r="BF6" s="153">
        <v>0.75</v>
      </c>
      <c r="BG6" s="113">
        <v>0.41666666666666669</v>
      </c>
      <c r="BH6" s="93">
        <v>0.75</v>
      </c>
      <c r="BI6" s="242"/>
      <c r="BJ6" s="242"/>
      <c r="BK6" s="93">
        <v>0.41666666666666669</v>
      </c>
      <c r="BL6" s="100">
        <v>0.75</v>
      </c>
      <c r="BM6" s="572" t="s">
        <v>21</v>
      </c>
      <c r="BN6" s="34" t="s">
        <v>19</v>
      </c>
      <c r="BO6" s="529">
        <v>0.41666666666666669</v>
      </c>
      <c r="BP6" s="527">
        <v>0.75</v>
      </c>
      <c r="BQ6" s="527">
        <v>0.375</v>
      </c>
      <c r="BR6" s="527">
        <v>0.70833333333333337</v>
      </c>
      <c r="BS6" s="539"/>
      <c r="BT6" s="539"/>
      <c r="BU6" s="527">
        <v>0.375</v>
      </c>
      <c r="BV6" s="528">
        <v>0.70833333333333337</v>
      </c>
      <c r="BW6" s="529"/>
      <c r="BX6" s="527"/>
      <c r="BY6" s="539"/>
      <c r="BZ6" s="539"/>
      <c r="CA6" s="527">
        <v>0.41666666666666669</v>
      </c>
      <c r="CB6" s="527">
        <v>0.75</v>
      </c>
      <c r="CC6" s="246" t="s">
        <v>22</v>
      </c>
    </row>
    <row r="7" spans="1:82" ht="18.75" x14ac:dyDescent="0.25">
      <c r="A7" s="568" t="s">
        <v>23</v>
      </c>
      <c r="B7" s="563" t="s">
        <v>19</v>
      </c>
      <c r="C7" s="730">
        <v>0.5</v>
      </c>
      <c r="D7" s="731">
        <v>0.83333333333333337</v>
      </c>
      <c r="E7" s="616">
        <v>0.54166666666666663</v>
      </c>
      <c r="F7" s="616">
        <v>0.875</v>
      </c>
      <c r="G7" s="242"/>
      <c r="H7" s="242"/>
      <c r="I7" s="242"/>
      <c r="J7" s="424"/>
      <c r="K7" s="730">
        <v>0.54166666666666663</v>
      </c>
      <c r="L7" s="776">
        <v>0.875</v>
      </c>
      <c r="M7" s="530">
        <v>0.54166666666666663</v>
      </c>
      <c r="N7" s="530">
        <v>0.875</v>
      </c>
      <c r="O7" s="530">
        <v>0.6875</v>
      </c>
      <c r="P7" s="528">
        <v>0</v>
      </c>
      <c r="Q7" s="696" t="s">
        <v>24</v>
      </c>
      <c r="R7" s="697" t="s">
        <v>19</v>
      </c>
      <c r="S7" s="636"/>
      <c r="T7" s="527"/>
      <c r="U7" s="527"/>
      <c r="V7" s="527"/>
      <c r="W7" s="631"/>
      <c r="X7" s="631"/>
      <c r="Y7" s="905">
        <v>0.45833333333333331</v>
      </c>
      <c r="Z7" s="906">
        <v>0.79166666666666663</v>
      </c>
      <c r="AA7" s="636"/>
      <c r="AB7" s="527"/>
      <c r="AC7" s="672"/>
      <c r="AD7" s="672"/>
      <c r="AE7" s="672"/>
      <c r="AF7" s="674"/>
      <c r="AG7" s="648" t="s">
        <v>24</v>
      </c>
      <c r="AH7" s="649" t="s">
        <v>19</v>
      </c>
      <c r="AI7" s="922"/>
      <c r="AJ7" s="909"/>
      <c r="AK7" s="609"/>
      <c r="AL7" s="609"/>
      <c r="AM7" s="609"/>
      <c r="AN7" s="609"/>
      <c r="AO7" s="609"/>
      <c r="AP7" s="923"/>
      <c r="AQ7" s="113"/>
      <c r="AR7" s="93"/>
      <c r="AS7" s="93"/>
      <c r="AT7" s="93"/>
      <c r="AU7" s="93"/>
      <c r="AV7" s="100"/>
      <c r="AW7" s="648" t="s">
        <v>24</v>
      </c>
      <c r="AX7" s="649" t="s">
        <v>19</v>
      </c>
      <c r="AY7" s="112">
        <v>0.5</v>
      </c>
      <c r="AZ7" s="93">
        <v>0.83333333333333337</v>
      </c>
      <c r="BA7" s="93"/>
      <c r="BB7" s="93"/>
      <c r="BC7" s="93"/>
      <c r="BD7" s="93"/>
      <c r="BE7" s="539"/>
      <c r="BF7" s="638"/>
      <c r="BG7" s="539"/>
      <c r="BH7" s="539"/>
      <c r="BI7" s="527"/>
      <c r="BJ7" s="527"/>
      <c r="BK7" s="93"/>
      <c r="BL7" s="100"/>
      <c r="BM7" s="572" t="s">
        <v>24</v>
      </c>
      <c r="BN7" s="34" t="s">
        <v>19</v>
      </c>
      <c r="BO7" s="541"/>
      <c r="BP7" s="539"/>
      <c r="BQ7" s="539"/>
      <c r="BR7" s="539"/>
      <c r="BS7" s="527"/>
      <c r="BT7" s="527"/>
      <c r="BU7" s="527"/>
      <c r="BV7" s="528"/>
      <c r="BW7" s="529"/>
      <c r="BX7" s="527"/>
      <c r="BY7" s="527"/>
      <c r="BZ7" s="527"/>
      <c r="CA7" s="527"/>
      <c r="CB7" s="528"/>
      <c r="CC7" s="246" t="s">
        <v>25</v>
      </c>
    </row>
    <row r="8" spans="1:82" ht="17.25" customHeight="1" x14ac:dyDescent="0.3">
      <c r="A8" s="568" t="s">
        <v>26</v>
      </c>
      <c r="B8" s="563" t="s">
        <v>19</v>
      </c>
      <c r="C8" s="636">
        <v>0.6875</v>
      </c>
      <c r="D8" s="673">
        <v>0</v>
      </c>
      <c r="E8" s="735">
        <v>0.80208333333333337</v>
      </c>
      <c r="F8" s="735">
        <v>9.375E-2</v>
      </c>
      <c r="G8" s="772">
        <v>0.5</v>
      </c>
      <c r="H8" s="616">
        <v>0.83333333333333337</v>
      </c>
      <c r="I8" s="242"/>
      <c r="J8" s="424"/>
      <c r="K8" s="636">
        <v>0.6875</v>
      </c>
      <c r="L8" s="673">
        <v>0</v>
      </c>
      <c r="M8" s="527">
        <v>0.6875</v>
      </c>
      <c r="N8" s="673">
        <v>0</v>
      </c>
      <c r="O8" s="527">
        <v>0.6875</v>
      </c>
      <c r="P8" s="528">
        <v>0</v>
      </c>
      <c r="Q8" s="696" t="s">
        <v>27</v>
      </c>
      <c r="R8" s="697" t="s">
        <v>19</v>
      </c>
      <c r="S8" s="636"/>
      <c r="T8" s="527"/>
      <c r="U8" s="530"/>
      <c r="V8" s="530"/>
      <c r="W8" s="631"/>
      <c r="X8" s="710"/>
      <c r="Y8" s="634"/>
      <c r="Z8" s="635"/>
      <c r="AA8" s="928"/>
      <c r="AB8" s="634"/>
      <c r="AC8" s="527"/>
      <c r="AD8" s="527"/>
      <c r="AE8" s="610"/>
      <c r="AF8" s="694"/>
      <c r="AG8" s="650" t="s">
        <v>27</v>
      </c>
      <c r="AH8" s="651" t="s">
        <v>19</v>
      </c>
      <c r="AI8" s="113"/>
      <c r="AJ8" s="93"/>
      <c r="AK8" s="93"/>
      <c r="AL8" s="93"/>
      <c r="AM8" s="93"/>
      <c r="AN8" s="93"/>
      <c r="AO8" s="93"/>
      <c r="AP8" s="100"/>
      <c r="AQ8" s="113"/>
      <c r="AR8" s="93"/>
      <c r="AS8" s="987"/>
      <c r="AT8" s="987"/>
      <c r="AU8" s="93"/>
      <c r="AV8" s="100"/>
      <c r="AW8" s="650" t="s">
        <v>27</v>
      </c>
      <c r="AX8" s="651" t="s">
        <v>19</v>
      </c>
      <c r="AY8" s="671">
        <v>0.625</v>
      </c>
      <c r="AZ8" s="672">
        <v>0.875</v>
      </c>
      <c r="BA8" s="634"/>
      <c r="BB8" s="634"/>
      <c r="BC8" s="24"/>
      <c r="BD8" s="24"/>
      <c r="BE8" s="634"/>
      <c r="BF8" s="635"/>
      <c r="BG8" s="636"/>
      <c r="BH8" s="527"/>
      <c r="BI8" s="93"/>
      <c r="BJ8" s="93"/>
      <c r="BK8" s="93"/>
      <c r="BL8" s="100"/>
      <c r="BM8" s="572" t="s">
        <v>27</v>
      </c>
      <c r="BN8" s="34" t="s">
        <v>19</v>
      </c>
      <c r="BO8" s="529"/>
      <c r="BP8" s="527"/>
      <c r="BQ8" s="527"/>
      <c r="BR8" s="527"/>
      <c r="BS8" s="527"/>
      <c r="BT8" s="527"/>
      <c r="BU8" s="527"/>
      <c r="BV8" s="528"/>
      <c r="BW8" s="291"/>
      <c r="BX8" s="292"/>
      <c r="BY8" s="527"/>
      <c r="BZ8" s="527"/>
      <c r="CA8" s="527"/>
      <c r="CB8" s="528"/>
      <c r="CC8" s="246" t="s">
        <v>22</v>
      </c>
    </row>
    <row r="9" spans="1:82" ht="18.75" x14ac:dyDescent="0.25">
      <c r="A9" s="568" t="s">
        <v>28</v>
      </c>
      <c r="B9" s="563" t="s">
        <v>19</v>
      </c>
      <c r="C9" s="636">
        <v>0.6875</v>
      </c>
      <c r="D9" s="673">
        <v>0</v>
      </c>
      <c r="E9" s="242"/>
      <c r="F9" s="242"/>
      <c r="G9" s="735">
        <v>0.8125</v>
      </c>
      <c r="H9" s="735">
        <v>0.10416666666666667</v>
      </c>
      <c r="I9" s="272">
        <v>0.75</v>
      </c>
      <c r="J9" s="886">
        <v>4.1666666666666664E-2</v>
      </c>
      <c r="K9" s="113">
        <v>0.6875</v>
      </c>
      <c r="L9" s="93">
        <v>0</v>
      </c>
      <c r="M9" s="527">
        <v>0.6875</v>
      </c>
      <c r="N9" s="527">
        <v>0</v>
      </c>
      <c r="O9" s="527">
        <v>0.70833333333333337</v>
      </c>
      <c r="P9" s="528">
        <v>1.3888888888888888E-2</v>
      </c>
      <c r="Q9" s="696" t="s">
        <v>28</v>
      </c>
      <c r="R9" s="697" t="s">
        <v>19</v>
      </c>
      <c r="S9" s="636"/>
      <c r="T9" s="527"/>
      <c r="U9" s="527"/>
      <c r="V9" s="527"/>
      <c r="W9" s="527"/>
      <c r="X9" s="527"/>
      <c r="Y9" s="631"/>
      <c r="Z9" s="710"/>
      <c r="AA9" s="636"/>
      <c r="AB9" s="527"/>
      <c r="AC9" s="527"/>
      <c r="AD9" s="527"/>
      <c r="AE9" s="527"/>
      <c r="AF9" s="528"/>
      <c r="AG9" s="648" t="s">
        <v>28</v>
      </c>
      <c r="AH9" s="649" t="s">
        <v>19</v>
      </c>
      <c r="AI9" s="113"/>
      <c r="AJ9" s="93"/>
      <c r="AK9" s="93"/>
      <c r="AL9" s="93"/>
      <c r="AM9" s="93"/>
      <c r="AN9" s="93"/>
      <c r="AO9" s="93"/>
      <c r="AP9" s="100"/>
      <c r="AQ9" s="113"/>
      <c r="AR9" s="93"/>
      <c r="AS9" s="93"/>
      <c r="AT9" s="93"/>
      <c r="AU9" s="93"/>
      <c r="AV9" s="100"/>
      <c r="AW9" s="648" t="s">
        <v>28</v>
      </c>
      <c r="AX9" s="649" t="s">
        <v>19</v>
      </c>
      <c r="AY9" s="112">
        <v>0.6875</v>
      </c>
      <c r="AZ9" s="93">
        <v>0</v>
      </c>
      <c r="BA9" s="539"/>
      <c r="BB9" s="539"/>
      <c r="BC9" s="93"/>
      <c r="BD9" s="93"/>
      <c r="BE9" s="93"/>
      <c r="BF9" s="153"/>
      <c r="BG9" s="113"/>
      <c r="BH9" s="93"/>
      <c r="BI9" s="539"/>
      <c r="BJ9" s="539"/>
      <c r="BK9" s="93"/>
      <c r="BL9" s="100"/>
      <c r="BM9" s="572" t="s">
        <v>28</v>
      </c>
      <c r="BN9" s="34" t="s">
        <v>19</v>
      </c>
      <c r="BO9" s="541"/>
      <c r="BP9" s="539"/>
      <c r="BQ9" s="570"/>
      <c r="BR9" s="570"/>
      <c r="BS9" s="539"/>
      <c r="BT9" s="539"/>
      <c r="BU9" s="93"/>
      <c r="BV9" s="100"/>
      <c r="BW9" s="529"/>
      <c r="BX9" s="527"/>
      <c r="BY9" s="527"/>
      <c r="BZ9" s="527"/>
      <c r="CA9" s="527"/>
      <c r="CB9" s="528"/>
      <c r="CC9" s="246" t="s">
        <v>22</v>
      </c>
    </row>
    <row r="10" spans="1:82" ht="18.75" x14ac:dyDescent="0.25">
      <c r="A10" s="568" t="s">
        <v>29</v>
      </c>
      <c r="B10" s="563" t="s">
        <v>19</v>
      </c>
      <c r="C10" s="636">
        <v>0.75</v>
      </c>
      <c r="D10" s="673">
        <v>4.1666666666666664E-2</v>
      </c>
      <c r="E10" s="735">
        <v>0.8125</v>
      </c>
      <c r="F10" s="735">
        <v>0.10416666666666667</v>
      </c>
      <c r="G10" s="729"/>
      <c r="H10" s="729"/>
      <c r="I10" s="539"/>
      <c r="J10" s="540"/>
      <c r="K10" s="733">
        <v>0.6875</v>
      </c>
      <c r="L10" s="609">
        <v>0</v>
      </c>
      <c r="M10" s="672">
        <v>0.6875</v>
      </c>
      <c r="N10" s="672">
        <v>0</v>
      </c>
      <c r="O10" s="672">
        <v>0.75</v>
      </c>
      <c r="P10" s="674">
        <v>4.1666666666666664E-2</v>
      </c>
      <c r="Q10" s="696" t="s">
        <v>30</v>
      </c>
      <c r="R10" s="697" t="s">
        <v>19</v>
      </c>
      <c r="S10" s="733"/>
      <c r="T10" s="609"/>
      <c r="U10" s="672"/>
      <c r="V10" s="672"/>
      <c r="W10" s="672">
        <v>0.8125</v>
      </c>
      <c r="X10" s="672">
        <v>0.10416666666666667</v>
      </c>
      <c r="Y10" s="634"/>
      <c r="Z10" s="635"/>
      <c r="AA10" s="636"/>
      <c r="AB10" s="527"/>
      <c r="AC10" s="729"/>
      <c r="AD10" s="729"/>
      <c r="AE10" s="527"/>
      <c r="AF10" s="528"/>
      <c r="AG10" s="650" t="s">
        <v>30</v>
      </c>
      <c r="AH10" s="651" t="s">
        <v>19</v>
      </c>
      <c r="AI10" s="113"/>
      <c r="AJ10" s="93"/>
      <c r="AK10" s="93"/>
      <c r="AL10" s="93"/>
      <c r="AM10" s="93"/>
      <c r="AN10" s="93"/>
      <c r="AO10" s="93"/>
      <c r="AP10" s="100"/>
      <c r="AQ10" s="113"/>
      <c r="AR10" s="93"/>
      <c r="AS10" s="93"/>
      <c r="AT10" s="93"/>
      <c r="AU10" s="93"/>
      <c r="AV10" s="100"/>
      <c r="AW10" s="650" t="s">
        <v>30</v>
      </c>
      <c r="AX10" s="651" t="s">
        <v>19</v>
      </c>
      <c r="AY10" s="112">
        <v>0.6875</v>
      </c>
      <c r="AZ10" s="93">
        <v>0</v>
      </c>
      <c r="BA10" s="93"/>
      <c r="BB10" s="93"/>
      <c r="BC10" s="93"/>
      <c r="BD10" s="93"/>
      <c r="BE10" s="93"/>
      <c r="BF10" s="153"/>
      <c r="BG10" s="538"/>
      <c r="BH10" s="539"/>
      <c r="BI10" s="93"/>
      <c r="BJ10" s="93"/>
      <c r="BK10" s="93"/>
      <c r="BL10" s="528"/>
      <c r="BM10" s="572" t="s">
        <v>30</v>
      </c>
      <c r="BN10" s="34" t="s">
        <v>19</v>
      </c>
      <c r="BO10" s="533"/>
      <c r="BP10" s="531"/>
      <c r="BQ10" s="546"/>
      <c r="BR10" s="546"/>
      <c r="BS10" s="531"/>
      <c r="BT10" s="531"/>
      <c r="BU10" s="114"/>
      <c r="BV10" s="143"/>
      <c r="BW10" s="533"/>
      <c r="BX10" s="531"/>
      <c r="BY10" s="531"/>
      <c r="BZ10" s="531"/>
      <c r="CA10" s="527"/>
      <c r="CB10" s="528"/>
      <c r="CC10" s="246" t="s">
        <v>22</v>
      </c>
    </row>
    <row r="11" spans="1:82" ht="18.75" x14ac:dyDescent="0.25">
      <c r="A11" s="687" t="s">
        <v>31</v>
      </c>
      <c r="B11" s="564" t="s">
        <v>19</v>
      </c>
      <c r="C11" s="636">
        <v>0.6875</v>
      </c>
      <c r="D11" s="527">
        <v>0</v>
      </c>
      <c r="E11" s="527">
        <v>0.6875</v>
      </c>
      <c r="F11" s="527">
        <v>0</v>
      </c>
      <c r="G11" s="527">
        <v>0.6875</v>
      </c>
      <c r="H11" s="527">
        <v>0</v>
      </c>
      <c r="I11" s="779">
        <v>0.6875</v>
      </c>
      <c r="J11" s="799">
        <v>0</v>
      </c>
      <c r="K11" s="636">
        <v>0.75</v>
      </c>
      <c r="L11" s="527">
        <v>4.1666666666666664E-2</v>
      </c>
      <c r="M11" s="529">
        <v>0.70833333333333337</v>
      </c>
      <c r="N11" s="527">
        <v>1.3888888888888888E-2</v>
      </c>
      <c r="O11" s="529">
        <v>0.6875</v>
      </c>
      <c r="P11" s="528">
        <v>0</v>
      </c>
      <c r="Q11" s="698" t="s">
        <v>31</v>
      </c>
      <c r="R11" s="699" t="s">
        <v>19</v>
      </c>
      <c r="S11" s="326"/>
      <c r="T11" s="242"/>
      <c r="U11" s="527"/>
      <c r="V11" s="527"/>
      <c r="W11" s="527"/>
      <c r="X11" s="527"/>
      <c r="Y11" s="527"/>
      <c r="Z11" s="673"/>
      <c r="AA11" s="636"/>
      <c r="AB11" s="527"/>
      <c r="AC11" s="527"/>
      <c r="AD11" s="527"/>
      <c r="AE11" s="527"/>
      <c r="AF11" s="528"/>
      <c r="AG11" s="652" t="s">
        <v>31</v>
      </c>
      <c r="AH11" s="653" t="s">
        <v>19</v>
      </c>
      <c r="AI11" s="113"/>
      <c r="AJ11" s="93"/>
      <c r="AK11" s="93"/>
      <c r="AL11" s="93"/>
      <c r="AM11" s="93"/>
      <c r="AN11" s="93"/>
      <c r="AO11" s="93"/>
      <c r="AP11" s="100"/>
      <c r="AQ11" s="113"/>
      <c r="AR11" s="93"/>
      <c r="AS11" s="93"/>
      <c r="AT11" s="93"/>
      <c r="AU11" s="93"/>
      <c r="AV11" s="100"/>
      <c r="AW11" s="652" t="s">
        <v>31</v>
      </c>
      <c r="AX11" s="653" t="s">
        <v>19</v>
      </c>
      <c r="AY11" s="541"/>
      <c r="AZ11" s="539"/>
      <c r="BA11" s="93"/>
      <c r="BB11" s="93"/>
      <c r="BC11" s="93"/>
      <c r="BD11" s="93"/>
      <c r="BE11" s="93"/>
      <c r="BF11" s="153"/>
      <c r="BG11" s="154"/>
      <c r="BH11" s="114"/>
      <c r="BI11" s="539"/>
      <c r="BJ11" s="539"/>
      <c r="BK11" s="93"/>
      <c r="BL11" s="528"/>
      <c r="BM11" s="573" t="s">
        <v>31</v>
      </c>
      <c r="BN11" s="36" t="s">
        <v>19</v>
      </c>
      <c r="BO11" s="578"/>
      <c r="BP11" s="577"/>
      <c r="BQ11" s="546"/>
      <c r="BR11" s="546"/>
      <c r="BS11" s="531"/>
      <c r="BT11" s="531"/>
      <c r="BU11" s="531"/>
      <c r="BV11" s="532"/>
      <c r="BW11" s="533"/>
      <c r="BX11" s="531"/>
      <c r="BY11" s="531"/>
      <c r="BZ11" s="531"/>
      <c r="CA11" s="531"/>
      <c r="CB11" s="532"/>
      <c r="CC11" s="246" t="s">
        <v>22</v>
      </c>
    </row>
    <row r="12" spans="1:82" ht="18.75" x14ac:dyDescent="0.3">
      <c r="A12" s="569" t="s">
        <v>32</v>
      </c>
      <c r="B12" s="565" t="s">
        <v>19</v>
      </c>
      <c r="C12" s="730">
        <v>0.45833333333333331</v>
      </c>
      <c r="D12" s="731">
        <v>0.79166666666666663</v>
      </c>
      <c r="E12" s="616">
        <v>0.5</v>
      </c>
      <c r="F12" s="616">
        <v>0.83333333333333337</v>
      </c>
      <c r="G12" s="242"/>
      <c r="H12" s="242"/>
      <c r="I12" s="895">
        <v>0.6875</v>
      </c>
      <c r="J12" s="896">
        <v>0</v>
      </c>
      <c r="K12" s="636">
        <v>0.6875</v>
      </c>
      <c r="L12" s="527">
        <v>0</v>
      </c>
      <c r="M12" s="529">
        <v>0.6875</v>
      </c>
      <c r="N12" s="673">
        <v>0</v>
      </c>
      <c r="O12" s="527">
        <v>0.6875</v>
      </c>
      <c r="P12" s="528">
        <v>0</v>
      </c>
      <c r="Q12" s="700" t="s">
        <v>32</v>
      </c>
      <c r="R12" s="701" t="s">
        <v>19</v>
      </c>
      <c r="S12" s="636"/>
      <c r="T12" s="527"/>
      <c r="U12" s="808"/>
      <c r="V12" s="242"/>
      <c r="W12" s="729">
        <v>0.45833333333333331</v>
      </c>
      <c r="X12" s="729">
        <v>0.79166666666666663</v>
      </c>
      <c r="Y12" s="806">
        <v>0.6875</v>
      </c>
      <c r="Z12" s="807">
        <v>0</v>
      </c>
      <c r="AA12" s="636"/>
      <c r="AB12" s="673"/>
      <c r="AC12" s="527"/>
      <c r="AD12" s="527"/>
      <c r="AE12" s="672"/>
      <c r="AF12" s="674"/>
      <c r="AG12" s="654" t="s">
        <v>32</v>
      </c>
      <c r="AH12" s="655" t="s">
        <v>19</v>
      </c>
      <c r="AI12" s="113"/>
      <c r="AJ12" s="93"/>
      <c r="AK12" s="111"/>
      <c r="AL12" s="111"/>
      <c r="AM12" s="93"/>
      <c r="AN12" s="93"/>
      <c r="AO12" s="93"/>
      <c r="AP12" s="100"/>
      <c r="AQ12" s="113"/>
      <c r="AR12" s="93"/>
      <c r="AS12" s="93"/>
      <c r="AT12" s="93"/>
      <c r="AU12" s="93"/>
      <c r="AV12" s="100"/>
      <c r="AW12" s="654" t="s">
        <v>32</v>
      </c>
      <c r="AX12" s="655" t="s">
        <v>19</v>
      </c>
      <c r="AY12" s="112">
        <v>0.45833333333333331</v>
      </c>
      <c r="AZ12" s="93">
        <v>0.79166666666666663</v>
      </c>
      <c r="BA12" s="539"/>
      <c r="BB12" s="539"/>
      <c r="BC12" s="539"/>
      <c r="BD12" s="539"/>
      <c r="BE12" s="114"/>
      <c r="BF12" s="165"/>
      <c r="BG12" s="113"/>
      <c r="BH12" s="93"/>
      <c r="BI12" s="93"/>
      <c r="BJ12" s="93"/>
      <c r="BK12" s="93"/>
      <c r="BL12" s="100"/>
      <c r="BM12" s="37" t="s">
        <v>32</v>
      </c>
      <c r="BN12" s="38" t="s">
        <v>19</v>
      </c>
      <c r="BO12" s="533"/>
      <c r="BP12" s="531"/>
      <c r="BQ12" s="577"/>
      <c r="BR12" s="577"/>
      <c r="BS12" s="546"/>
      <c r="BT12" s="546"/>
      <c r="BU12" s="5"/>
      <c r="BV12" s="114"/>
      <c r="BW12" s="533"/>
      <c r="BX12" s="531"/>
      <c r="BY12" s="531"/>
      <c r="BZ12" s="531"/>
      <c r="CA12" s="531"/>
      <c r="CB12" s="532"/>
      <c r="CC12" s="246" t="s">
        <v>22</v>
      </c>
    </row>
    <row r="13" spans="1:82" ht="19.5" customHeight="1" x14ac:dyDescent="0.3">
      <c r="A13" s="569" t="s">
        <v>33</v>
      </c>
      <c r="B13" s="565" t="s">
        <v>19</v>
      </c>
      <c r="C13" s="730">
        <v>0.54166666666666663</v>
      </c>
      <c r="D13" s="731">
        <v>0.875</v>
      </c>
      <c r="E13" s="616">
        <v>0.5</v>
      </c>
      <c r="F13" s="616">
        <v>0.83333333333333337</v>
      </c>
      <c r="G13" s="616">
        <v>0.5</v>
      </c>
      <c r="H13" s="616">
        <v>0.83333333333333337</v>
      </c>
      <c r="I13" s="611">
        <v>0.5</v>
      </c>
      <c r="J13" s="783">
        <v>0.875</v>
      </c>
      <c r="K13" s="244"/>
      <c r="L13" s="247"/>
      <c r="M13" s="527">
        <v>0.6875</v>
      </c>
      <c r="N13" s="527">
        <v>0</v>
      </c>
      <c r="O13" s="527">
        <v>0.6875</v>
      </c>
      <c r="P13" s="528">
        <v>0</v>
      </c>
      <c r="Q13" s="700" t="s">
        <v>33</v>
      </c>
      <c r="R13" s="701" t="s">
        <v>19</v>
      </c>
      <c r="S13" s="636"/>
      <c r="T13" s="527"/>
      <c r="U13" s="610"/>
      <c r="V13" s="527"/>
      <c r="W13" s="527"/>
      <c r="X13" s="527"/>
      <c r="Y13" s="527"/>
      <c r="Z13" s="673"/>
      <c r="AA13" s="636"/>
      <c r="AB13" s="527"/>
      <c r="AC13" s="631"/>
      <c r="AD13" s="631"/>
      <c r="AE13" s="631"/>
      <c r="AF13" s="809"/>
      <c r="AG13" s="648" t="s">
        <v>33</v>
      </c>
      <c r="AH13" s="649" t="s">
        <v>19</v>
      </c>
      <c r="AI13" s="113"/>
      <c r="AJ13" s="93"/>
      <c r="AK13" s="111"/>
      <c r="AL13" s="111"/>
      <c r="AM13" s="93"/>
      <c r="AN13" s="93"/>
      <c r="AO13" s="93"/>
      <c r="AP13" s="100"/>
      <c r="AQ13" s="113"/>
      <c r="AR13" s="93"/>
      <c r="AS13" s="93"/>
      <c r="AT13" s="93"/>
      <c r="AU13" s="93"/>
      <c r="AV13" s="100"/>
      <c r="AW13" s="648" t="s">
        <v>33</v>
      </c>
      <c r="AX13" s="649" t="s">
        <v>19</v>
      </c>
      <c r="AY13" s="541"/>
      <c r="AZ13" s="539"/>
      <c r="BA13" s="93"/>
      <c r="BB13" s="93"/>
      <c r="BC13" s="93"/>
      <c r="BD13" s="93"/>
      <c r="BE13" s="539"/>
      <c r="BF13" s="638"/>
      <c r="BG13" s="113"/>
      <c r="BH13" s="93"/>
      <c r="BI13" s="93"/>
      <c r="BJ13" s="93"/>
      <c r="BK13" s="93"/>
      <c r="BL13" s="100"/>
      <c r="BM13" s="37" t="s">
        <v>33</v>
      </c>
      <c r="BN13" s="38" t="s">
        <v>19</v>
      </c>
      <c r="BO13" s="582"/>
      <c r="BP13" s="583"/>
      <c r="BQ13" s="527"/>
      <c r="BR13" s="527"/>
      <c r="BS13" s="527"/>
      <c r="BT13" s="527"/>
      <c r="BU13" s="527"/>
      <c r="BV13" s="528"/>
      <c r="BW13" s="529"/>
      <c r="BX13" s="527"/>
      <c r="BY13" s="527"/>
      <c r="BZ13" s="527"/>
      <c r="CA13" s="527"/>
      <c r="CB13" s="528"/>
      <c r="CC13" s="246" t="s">
        <v>22</v>
      </c>
    </row>
    <row r="14" spans="1:82" ht="20.25" customHeight="1" thickBot="1" x14ac:dyDescent="0.35">
      <c r="A14" s="688" t="s">
        <v>34</v>
      </c>
      <c r="B14" s="565" t="s">
        <v>19</v>
      </c>
      <c r="C14" s="636">
        <v>0.6875</v>
      </c>
      <c r="D14" s="527">
        <v>0</v>
      </c>
      <c r="E14" s="93">
        <v>0.6875</v>
      </c>
      <c r="F14" s="93">
        <v>0</v>
      </c>
      <c r="G14" s="616">
        <v>0.54166666666666663</v>
      </c>
      <c r="H14" s="616">
        <v>0.875</v>
      </c>
      <c r="I14" s="616">
        <v>0.54166666666666663</v>
      </c>
      <c r="J14" s="773">
        <v>0.875</v>
      </c>
      <c r="K14" s="636">
        <v>0.625</v>
      </c>
      <c r="L14" s="527">
        <v>0.94444444444444453</v>
      </c>
      <c r="M14" s="247"/>
      <c r="N14" s="247"/>
      <c r="O14" s="616">
        <v>0.5</v>
      </c>
      <c r="P14" s="773">
        <v>0.83333333333333337</v>
      </c>
      <c r="Q14" s="702" t="s">
        <v>34</v>
      </c>
      <c r="R14" s="703" t="s">
        <v>19</v>
      </c>
      <c r="S14" s="711"/>
      <c r="T14" s="673"/>
      <c r="U14" s="527"/>
      <c r="V14" s="527"/>
      <c r="W14" s="712"/>
      <c r="X14" s="712"/>
      <c r="Y14" s="712"/>
      <c r="Z14" s="713"/>
      <c r="AA14" s="711"/>
      <c r="AB14" s="712"/>
      <c r="AC14" s="712"/>
      <c r="AD14" s="712"/>
      <c r="AE14" s="712"/>
      <c r="AF14" s="528"/>
      <c r="AG14" s="654" t="s">
        <v>34</v>
      </c>
      <c r="AH14" s="655" t="s">
        <v>19</v>
      </c>
      <c r="AI14" s="113"/>
      <c r="AJ14" s="93"/>
      <c r="AK14" s="910"/>
      <c r="AL14" s="911"/>
      <c r="AM14" s="93"/>
      <c r="AN14" s="93"/>
      <c r="AO14" s="93"/>
      <c r="AP14" s="100"/>
      <c r="AQ14" s="113"/>
      <c r="AR14" s="93"/>
      <c r="AS14" s="93"/>
      <c r="AT14" s="93"/>
      <c r="AU14" s="93"/>
      <c r="AV14" s="100"/>
      <c r="AW14" s="654" t="s">
        <v>34</v>
      </c>
      <c r="AX14" s="655" t="s">
        <v>19</v>
      </c>
      <c r="AY14" s="199">
        <v>0.6875</v>
      </c>
      <c r="AZ14" s="169">
        <v>0</v>
      </c>
      <c r="BA14" s="106"/>
      <c r="BB14" s="106"/>
      <c r="BC14" s="169"/>
      <c r="BD14" s="169"/>
      <c r="BE14" s="169"/>
      <c r="BF14" s="170"/>
      <c r="BG14" s="168"/>
      <c r="BH14" s="169"/>
      <c r="BI14" s="169"/>
      <c r="BJ14" s="169"/>
      <c r="BK14" s="169"/>
      <c r="BL14" s="171"/>
      <c r="BM14" s="37" t="s">
        <v>34</v>
      </c>
      <c r="BN14" s="38" t="s">
        <v>19</v>
      </c>
      <c r="BO14" s="529"/>
      <c r="BP14" s="527"/>
      <c r="BQ14" s="527"/>
      <c r="BR14" s="527"/>
      <c r="BS14" s="242"/>
      <c r="BT14" s="242"/>
      <c r="BU14" s="242"/>
      <c r="BV14" s="424"/>
      <c r="BW14" s="529"/>
      <c r="BX14" s="527"/>
      <c r="BY14" s="527"/>
      <c r="BZ14" s="527"/>
      <c r="CA14" s="527"/>
      <c r="CB14" s="528"/>
      <c r="CC14" s="246" t="s">
        <v>22</v>
      </c>
    </row>
    <row r="15" spans="1:82" ht="20.25" customHeight="1" thickBot="1" x14ac:dyDescent="0.35">
      <c r="A15" s="639" t="s">
        <v>35</v>
      </c>
      <c r="B15" s="689" t="s">
        <v>19</v>
      </c>
      <c r="C15" s="704">
        <v>0.6875</v>
      </c>
      <c r="D15" s="705">
        <v>0</v>
      </c>
      <c r="E15" s="863">
        <v>0.77083333333333337</v>
      </c>
      <c r="F15" s="863">
        <v>6.25E-2</v>
      </c>
      <c r="G15" s="289"/>
      <c r="H15" s="289"/>
      <c r="I15" s="781">
        <v>0.54166666666666663</v>
      </c>
      <c r="J15" s="782">
        <v>0.875</v>
      </c>
      <c r="K15" s="704">
        <v>0.6875</v>
      </c>
      <c r="L15" s="705">
        <v>0</v>
      </c>
      <c r="M15" s="705">
        <v>0.6875</v>
      </c>
      <c r="N15" s="705">
        <v>0</v>
      </c>
      <c r="O15" s="774">
        <v>0.54166666666666663</v>
      </c>
      <c r="P15" s="775">
        <v>0.875</v>
      </c>
      <c r="Q15" s="702" t="s">
        <v>35</v>
      </c>
      <c r="R15" s="823" t="s">
        <v>19</v>
      </c>
      <c r="S15" s="714"/>
      <c r="T15" s="715"/>
      <c r="U15" s="716"/>
      <c r="V15" s="712"/>
      <c r="W15" s="712"/>
      <c r="X15" s="712"/>
      <c r="Y15" s="712"/>
      <c r="Z15" s="713"/>
      <c r="AA15" s="846"/>
      <c r="AB15" s="847"/>
      <c r="AC15" s="847"/>
      <c r="AD15" s="848"/>
      <c r="AE15" s="712"/>
      <c r="AF15" s="849"/>
      <c r="AG15" s="654" t="s">
        <v>35</v>
      </c>
      <c r="AH15" s="655" t="s">
        <v>19</v>
      </c>
      <c r="AI15" s="924"/>
      <c r="AJ15" s="784"/>
      <c r="AK15" s="169"/>
      <c r="AL15" s="169"/>
      <c r="AM15" s="169"/>
      <c r="AN15" s="169"/>
      <c r="AO15" s="169"/>
      <c r="AP15" s="171"/>
      <c r="AQ15" s="168"/>
      <c r="AR15" s="169"/>
      <c r="AS15" s="169"/>
      <c r="AT15" s="169"/>
      <c r="AU15" s="169"/>
      <c r="AV15" s="171"/>
      <c r="AW15" s="654" t="s">
        <v>35</v>
      </c>
      <c r="AX15" s="655" t="s">
        <v>19</v>
      </c>
      <c r="AY15" s="620">
        <v>0.6875</v>
      </c>
      <c r="AZ15" s="618">
        <v>0</v>
      </c>
      <c r="BA15" s="637"/>
      <c r="BB15" s="637"/>
      <c r="BC15" s="618">
        <v>0.6875</v>
      </c>
      <c r="BD15" s="618">
        <v>0</v>
      </c>
      <c r="BE15" s="618"/>
      <c r="BF15" s="149"/>
      <c r="BG15" s="617"/>
      <c r="BH15" s="618"/>
      <c r="BI15" s="618"/>
      <c r="BJ15" s="618"/>
      <c r="BK15" s="618"/>
      <c r="BL15" s="619"/>
      <c r="BM15" s="621"/>
      <c r="BN15" s="622"/>
      <c r="BO15" s="623"/>
      <c r="BP15" s="534"/>
      <c r="BQ15" s="530"/>
      <c r="BR15" s="530"/>
      <c r="BS15" s="587"/>
      <c r="BT15" s="587"/>
      <c r="BU15" s="587"/>
      <c r="BV15" s="395"/>
      <c r="BW15" s="623"/>
      <c r="BX15" s="530"/>
      <c r="BY15" s="530"/>
      <c r="BZ15" s="530"/>
      <c r="CA15" s="530"/>
      <c r="CB15" s="501"/>
      <c r="CD15" t="s">
        <v>36</v>
      </c>
    </row>
    <row r="16" spans="1:82" ht="19.5" customHeight="1" x14ac:dyDescent="0.25">
      <c r="A16" s="762" t="s">
        <v>37</v>
      </c>
      <c r="B16" s="759" t="s">
        <v>38</v>
      </c>
      <c r="C16" s="632">
        <v>0.6875</v>
      </c>
      <c r="D16" s="535">
        <v>0</v>
      </c>
      <c r="E16" s="628"/>
      <c r="F16" s="628"/>
      <c r="G16" s="535">
        <v>0.66666666666666663</v>
      </c>
      <c r="H16" s="535">
        <v>0.97916666666666663</v>
      </c>
      <c r="I16" s="777">
        <v>0.6875</v>
      </c>
      <c r="J16" s="778">
        <v>0</v>
      </c>
      <c r="K16" s="800"/>
      <c r="L16" s="801"/>
      <c r="M16" s="802"/>
      <c r="N16" s="803"/>
      <c r="O16" s="628"/>
      <c r="P16" s="420"/>
      <c r="Q16" s="824" t="s">
        <v>37</v>
      </c>
      <c r="R16" s="836" t="s">
        <v>38</v>
      </c>
      <c r="S16" s="717"/>
      <c r="T16" s="535"/>
      <c r="U16" s="535"/>
      <c r="V16" s="535"/>
      <c r="W16" s="535"/>
      <c r="X16" s="535"/>
      <c r="Y16" s="535"/>
      <c r="Z16" s="536"/>
      <c r="AA16" s="686"/>
      <c r="AB16" s="706"/>
      <c r="AC16" s="706"/>
      <c r="AD16" s="706"/>
      <c r="AE16" s="706"/>
      <c r="AF16" s="854"/>
      <c r="AG16" s="841" t="s">
        <v>37</v>
      </c>
      <c r="AH16" s="657" t="s">
        <v>38</v>
      </c>
      <c r="AI16" s="219"/>
      <c r="AJ16" s="156"/>
      <c r="AK16" s="920"/>
      <c r="AL16" s="921"/>
      <c r="AM16" s="156"/>
      <c r="AN16" s="156"/>
      <c r="AO16" s="156"/>
      <c r="AP16" s="156"/>
      <c r="AQ16" s="925"/>
      <c r="AR16" s="925"/>
      <c r="AS16" s="925"/>
      <c r="AT16" s="926"/>
      <c r="AU16" s="156"/>
      <c r="AV16" s="156"/>
      <c r="AW16" s="656" t="s">
        <v>37</v>
      </c>
      <c r="AX16" s="657" t="s">
        <v>38</v>
      </c>
      <c r="AY16" s="669"/>
      <c r="AZ16" s="628"/>
      <c r="BA16" s="158"/>
      <c r="BB16" s="158"/>
      <c r="BC16" s="158"/>
      <c r="BD16" s="158"/>
      <c r="BE16" s="158"/>
      <c r="BF16" s="206"/>
      <c r="BG16" s="588"/>
      <c r="BH16" s="589"/>
      <c r="BI16" s="590"/>
      <c r="BJ16" s="591"/>
      <c r="BK16" s="158"/>
      <c r="BL16" s="321"/>
      <c r="BM16" s="567" t="s">
        <v>37</v>
      </c>
      <c r="BN16" s="574" t="s">
        <v>38</v>
      </c>
      <c r="BO16" s="554"/>
      <c r="BP16" s="556"/>
      <c r="BQ16" s="530">
        <v>0.6875</v>
      </c>
      <c r="BR16" s="530">
        <v>0</v>
      </c>
      <c r="BS16" s="530">
        <v>0.6875</v>
      </c>
      <c r="BT16" s="530">
        <v>0</v>
      </c>
      <c r="BU16" s="530">
        <v>0.6875</v>
      </c>
      <c r="BV16" s="534">
        <v>0</v>
      </c>
      <c r="BW16" s="554"/>
      <c r="BX16" s="555"/>
      <c r="BY16" s="548"/>
      <c r="BZ16" s="548"/>
      <c r="CA16" s="545"/>
      <c r="CB16" s="559"/>
    </row>
    <row r="17" spans="1:80" ht="18.75" x14ac:dyDescent="0.3">
      <c r="A17" s="695" t="s">
        <v>39</v>
      </c>
      <c r="B17" s="612" t="s">
        <v>38</v>
      </c>
      <c r="C17" s="112">
        <v>0.6875</v>
      </c>
      <c r="D17" s="93">
        <v>0</v>
      </c>
      <c r="E17" s="247"/>
      <c r="F17" s="247"/>
      <c r="G17" s="616">
        <v>0.5</v>
      </c>
      <c r="H17" s="616">
        <v>0.83333333333333337</v>
      </c>
      <c r="I17" s="797">
        <v>0.5</v>
      </c>
      <c r="J17" s="798">
        <v>0.83333333333333337</v>
      </c>
      <c r="K17" s="730">
        <v>0.5</v>
      </c>
      <c r="L17" s="616">
        <v>0.83333333333333337</v>
      </c>
      <c r="M17" s="826"/>
      <c r="N17" s="827"/>
      <c r="O17" s="242"/>
      <c r="P17" s="424"/>
      <c r="Q17" s="658" t="s">
        <v>39</v>
      </c>
      <c r="R17" s="837" t="s">
        <v>38</v>
      </c>
      <c r="S17" s="636"/>
      <c r="T17" s="527"/>
      <c r="U17" s="527"/>
      <c r="V17" s="527"/>
      <c r="W17" s="527"/>
      <c r="X17" s="527"/>
      <c r="Y17" s="527"/>
      <c r="Z17" s="528"/>
      <c r="AA17" s="636"/>
      <c r="AB17" s="527"/>
      <c r="AC17" s="527"/>
      <c r="AD17" s="527"/>
      <c r="AE17" s="675"/>
      <c r="AF17" s="855"/>
      <c r="AG17" s="842" t="s">
        <v>39</v>
      </c>
      <c r="AH17" s="657" t="s">
        <v>38</v>
      </c>
      <c r="AI17" s="112"/>
      <c r="AJ17" s="93"/>
      <c r="AK17" s="93"/>
      <c r="AL17" s="93"/>
      <c r="AM17" s="93"/>
      <c r="AN17" s="93"/>
      <c r="AO17" s="93"/>
      <c r="AP17" s="93"/>
      <c r="AQ17" s="593"/>
      <c r="AR17" s="593"/>
      <c r="AS17" s="93"/>
      <c r="AT17" s="93"/>
      <c r="AU17" s="93"/>
      <c r="AV17" s="93"/>
      <c r="AW17" s="658" t="s">
        <v>39</v>
      </c>
      <c r="AX17" s="657" t="s">
        <v>38</v>
      </c>
      <c r="AY17" s="240"/>
      <c r="AZ17" s="242"/>
      <c r="BA17" s="156"/>
      <c r="BB17" s="156"/>
      <c r="BC17" s="156"/>
      <c r="BD17" s="156"/>
      <c r="BE17" s="156"/>
      <c r="BF17" s="157"/>
      <c r="BG17" s="592"/>
      <c r="BH17" s="593"/>
      <c r="BI17" s="593"/>
      <c r="BJ17" s="159"/>
      <c r="BK17" s="159"/>
      <c r="BL17" s="595"/>
      <c r="BM17" s="39" t="s">
        <v>39</v>
      </c>
      <c r="BN17" s="566" t="s">
        <v>38</v>
      </c>
      <c r="BO17" s="538"/>
      <c r="BP17" s="540"/>
      <c r="BQ17" s="530">
        <v>0.6875</v>
      </c>
      <c r="BR17" s="530">
        <v>0</v>
      </c>
      <c r="BS17" s="530">
        <v>0.6875</v>
      </c>
      <c r="BT17" s="530">
        <v>0</v>
      </c>
      <c r="BU17" s="530">
        <v>0.6875</v>
      </c>
      <c r="BV17" s="534">
        <v>0</v>
      </c>
      <c r="BW17" s="538"/>
      <c r="BX17" s="539"/>
      <c r="BY17" s="549"/>
      <c r="BZ17" s="549"/>
      <c r="CA17" s="549"/>
      <c r="CB17" s="557"/>
    </row>
    <row r="18" spans="1:80" ht="18.75" x14ac:dyDescent="0.3">
      <c r="A18" s="695" t="s">
        <v>40</v>
      </c>
      <c r="B18" s="612" t="s">
        <v>38</v>
      </c>
      <c r="C18" s="112">
        <v>0.6875</v>
      </c>
      <c r="D18" s="93">
        <v>0</v>
      </c>
      <c r="E18" s="247"/>
      <c r="F18" s="247"/>
      <c r="G18" s="527">
        <v>0.66666666666666663</v>
      </c>
      <c r="H18" s="527">
        <v>0.97916666666666663</v>
      </c>
      <c r="I18" s="889">
        <v>0.66666666666666663</v>
      </c>
      <c r="J18" s="890">
        <v>0.97916666666666663</v>
      </c>
      <c r="K18" s="828"/>
      <c r="L18" s="327"/>
      <c r="M18" s="93">
        <v>0.5</v>
      </c>
      <c r="N18" s="93">
        <v>0.83333333333333337</v>
      </c>
      <c r="O18" s="242"/>
      <c r="P18" s="424"/>
      <c r="Q18" s="658" t="s">
        <v>40</v>
      </c>
      <c r="R18" s="837" t="s">
        <v>38</v>
      </c>
      <c r="S18" s="676"/>
      <c r="T18" s="531"/>
      <c r="U18" s="527"/>
      <c r="V18" s="527"/>
      <c r="W18" s="527"/>
      <c r="X18" s="527"/>
      <c r="Y18" s="527"/>
      <c r="Z18" s="528"/>
      <c r="AA18" s="636"/>
      <c r="AB18" s="527"/>
      <c r="AC18" s="718"/>
      <c r="AD18" s="718"/>
      <c r="AE18" s="527"/>
      <c r="AF18" s="528"/>
      <c r="AG18" s="842" t="s">
        <v>40</v>
      </c>
      <c r="AH18" s="657" t="s">
        <v>38</v>
      </c>
      <c r="AI18" s="112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658" t="s">
        <v>40</v>
      </c>
      <c r="AX18" s="657" t="s">
        <v>38</v>
      </c>
      <c r="AY18" s="164">
        <v>0.6875</v>
      </c>
      <c r="AZ18" s="114">
        <v>0</v>
      </c>
      <c r="BA18" s="587"/>
      <c r="BB18" s="587"/>
      <c r="BC18" s="156"/>
      <c r="BD18" s="156"/>
      <c r="BE18" s="156"/>
      <c r="BF18" s="157"/>
      <c r="BG18" s="113"/>
      <c r="BH18" s="93"/>
      <c r="BI18" s="114"/>
      <c r="BJ18" s="114"/>
      <c r="BK18" s="93"/>
      <c r="BL18" s="100"/>
      <c r="BM18" s="39" t="s">
        <v>40</v>
      </c>
      <c r="BN18" s="566" t="s">
        <v>38</v>
      </c>
      <c r="BO18" s="538"/>
      <c r="BP18" s="540"/>
      <c r="BQ18" s="587"/>
      <c r="BR18" s="587"/>
      <c r="BS18" s="530">
        <v>0.6875</v>
      </c>
      <c r="BT18" s="530">
        <v>0</v>
      </c>
      <c r="BU18" s="530">
        <v>0.6875</v>
      </c>
      <c r="BV18" s="534">
        <v>0</v>
      </c>
      <c r="BW18" s="538"/>
      <c r="BX18" s="539"/>
      <c r="BY18" s="549"/>
      <c r="BZ18" s="549"/>
      <c r="CA18" s="539"/>
      <c r="CB18" s="540"/>
    </row>
    <row r="19" spans="1:80" ht="18.75" x14ac:dyDescent="0.3">
      <c r="A19" s="695" t="s">
        <v>41</v>
      </c>
      <c r="B19" s="612" t="s">
        <v>38</v>
      </c>
      <c r="C19" s="754">
        <v>0.72916666666666663</v>
      </c>
      <c r="D19" s="728">
        <v>0</v>
      </c>
      <c r="E19" s="242"/>
      <c r="F19" s="242"/>
      <c r="G19" s="735">
        <v>0.80208333333333337</v>
      </c>
      <c r="H19" s="735">
        <v>9.375E-2</v>
      </c>
      <c r="I19" s="780">
        <v>0.75</v>
      </c>
      <c r="J19" s="386">
        <v>4.1666666666666664E-2</v>
      </c>
      <c r="K19" s="825"/>
      <c r="L19" s="826"/>
      <c r="M19" s="826"/>
      <c r="N19" s="827"/>
      <c r="O19" s="93">
        <v>0.625</v>
      </c>
      <c r="P19" s="100">
        <v>0.94444444444444453</v>
      </c>
      <c r="Q19" s="658" t="s">
        <v>41</v>
      </c>
      <c r="R19" s="837" t="s">
        <v>38</v>
      </c>
      <c r="S19" s="636"/>
      <c r="T19" s="527"/>
      <c r="U19" s="610"/>
      <c r="V19" s="527"/>
      <c r="W19" s="527"/>
      <c r="X19" s="527"/>
      <c r="Y19" s="527"/>
      <c r="Z19" s="528"/>
      <c r="AA19" s="636"/>
      <c r="AB19" s="527"/>
      <c r="AC19" s="531"/>
      <c r="AD19" s="531"/>
      <c r="AE19" s="527"/>
      <c r="AF19" s="528"/>
      <c r="AG19" s="842" t="s">
        <v>41</v>
      </c>
      <c r="AH19" s="657" t="s">
        <v>38</v>
      </c>
      <c r="AI19" s="112"/>
      <c r="AJ19" s="93"/>
      <c r="AK19" s="93"/>
      <c r="AL19" s="93"/>
      <c r="AM19" s="93"/>
      <c r="AN19" s="93"/>
      <c r="AO19" s="93"/>
      <c r="AP19" s="93"/>
      <c r="AQ19" s="593"/>
      <c r="AR19" s="593"/>
      <c r="AS19" s="111"/>
      <c r="AT19" s="111"/>
      <c r="AU19" s="93"/>
      <c r="AV19" s="93"/>
      <c r="AW19" s="658" t="s">
        <v>41</v>
      </c>
      <c r="AX19" s="657" t="s">
        <v>38</v>
      </c>
      <c r="AY19" s="112">
        <v>0.75</v>
      </c>
      <c r="AZ19" s="93">
        <v>4.1666666666666664E-2</v>
      </c>
      <c r="BA19" s="587"/>
      <c r="BB19" s="587"/>
      <c r="BC19" s="156"/>
      <c r="BD19" s="156"/>
      <c r="BE19" s="156"/>
      <c r="BF19" s="157"/>
      <c r="BG19" s="592"/>
      <c r="BH19" s="593"/>
      <c r="BI19" s="593"/>
      <c r="BJ19" s="159"/>
      <c r="BK19" s="93"/>
      <c r="BL19" s="100"/>
      <c r="BM19" s="39" t="s">
        <v>41</v>
      </c>
      <c r="BN19" s="566" t="s">
        <v>38</v>
      </c>
      <c r="BO19" s="538"/>
      <c r="BP19" s="540"/>
      <c r="BQ19" s="587"/>
      <c r="BR19" s="587"/>
      <c r="BS19" s="530">
        <v>0.6875</v>
      </c>
      <c r="BT19" s="530">
        <v>0</v>
      </c>
      <c r="BU19" s="530">
        <v>0.6875</v>
      </c>
      <c r="BV19" s="534">
        <v>0</v>
      </c>
      <c r="BW19" s="538"/>
      <c r="BX19" s="539"/>
      <c r="BY19" s="549"/>
      <c r="BZ19" s="549"/>
      <c r="CA19" s="539"/>
      <c r="CB19" s="540"/>
    </row>
    <row r="20" spans="1:80" ht="18.75" x14ac:dyDescent="0.3">
      <c r="A20" s="695" t="s">
        <v>42</v>
      </c>
      <c r="B20" s="377" t="s">
        <v>38</v>
      </c>
      <c r="C20" s="630">
        <v>0.54166666666666663</v>
      </c>
      <c r="D20" s="616">
        <v>0.875</v>
      </c>
      <c r="E20" s="242"/>
      <c r="F20" s="242"/>
      <c r="G20" s="616">
        <v>0.5</v>
      </c>
      <c r="H20" s="616">
        <v>0.83333333333333337</v>
      </c>
      <c r="I20" s="797">
        <v>0.6875</v>
      </c>
      <c r="J20" s="798">
        <v>0</v>
      </c>
      <c r="K20" s="825"/>
      <c r="L20" s="826"/>
      <c r="M20" s="826"/>
      <c r="N20" s="829"/>
      <c r="O20" s="242"/>
      <c r="P20" s="424"/>
      <c r="Q20" s="658" t="s">
        <v>42</v>
      </c>
      <c r="R20" s="837" t="s">
        <v>38</v>
      </c>
      <c r="S20" s="636"/>
      <c r="T20" s="527"/>
      <c r="U20" s="527"/>
      <c r="V20" s="527"/>
      <c r="W20" s="527"/>
      <c r="X20" s="527"/>
      <c r="Y20" s="527"/>
      <c r="Z20" s="528"/>
      <c r="AA20" s="636"/>
      <c r="AB20" s="527"/>
      <c r="AC20" s="631"/>
      <c r="AD20" s="631"/>
      <c r="AE20" s="527"/>
      <c r="AF20" s="528"/>
      <c r="AG20" s="842" t="s">
        <v>42</v>
      </c>
      <c r="AH20" s="657" t="s">
        <v>38</v>
      </c>
      <c r="AI20" s="112"/>
      <c r="AJ20" s="93"/>
      <c r="AK20" s="93"/>
      <c r="AL20" s="93"/>
      <c r="AM20" s="93"/>
      <c r="AN20" s="93"/>
      <c r="AO20" s="93"/>
      <c r="AP20" s="93"/>
      <c r="AQ20" s="912"/>
      <c r="AR20" s="912"/>
      <c r="AS20" s="111"/>
      <c r="AT20" s="111"/>
      <c r="AU20" s="913"/>
      <c r="AV20" s="913"/>
      <c r="AW20" s="658" t="s">
        <v>42</v>
      </c>
      <c r="AX20" s="657" t="s">
        <v>38</v>
      </c>
      <c r="AY20" s="240"/>
      <c r="AZ20" s="242"/>
      <c r="BA20" s="156"/>
      <c r="BB20" s="156"/>
      <c r="BC20" s="156"/>
      <c r="BD20" s="156"/>
      <c r="BE20" s="156"/>
      <c r="BF20" s="157"/>
      <c r="BG20" s="167"/>
      <c r="BH20" s="163"/>
      <c r="BI20" s="163"/>
      <c r="BJ20" s="163"/>
      <c r="BK20" s="93"/>
      <c r="BL20" s="100"/>
      <c r="BM20" s="39" t="s">
        <v>42</v>
      </c>
      <c r="BN20" s="566" t="s">
        <v>38</v>
      </c>
      <c r="BO20" s="538"/>
      <c r="BP20" s="540"/>
      <c r="BQ20" s="530">
        <v>0.6875</v>
      </c>
      <c r="BR20" s="530">
        <v>0</v>
      </c>
      <c r="BS20" s="530">
        <v>0.6875</v>
      </c>
      <c r="BT20" s="530">
        <v>0</v>
      </c>
      <c r="BU20" s="530">
        <v>0.6875</v>
      </c>
      <c r="BV20" s="534">
        <v>0</v>
      </c>
      <c r="BW20" s="551"/>
      <c r="BX20" s="550"/>
      <c r="BY20" s="550"/>
      <c r="BZ20" s="550"/>
      <c r="CA20" s="539"/>
      <c r="CB20" s="540"/>
    </row>
    <row r="21" spans="1:80" ht="19.5" thickBot="1" x14ac:dyDescent="0.35">
      <c r="A21" s="695" t="s">
        <v>43</v>
      </c>
      <c r="B21" s="612" t="s">
        <v>38</v>
      </c>
      <c r="C21" s="754">
        <v>0.72916666666666663</v>
      </c>
      <c r="D21" s="728">
        <v>0</v>
      </c>
      <c r="E21" s="242"/>
      <c r="F21" s="242"/>
      <c r="G21" s="527">
        <v>0.6875</v>
      </c>
      <c r="H21" s="527">
        <v>0</v>
      </c>
      <c r="I21" s="611">
        <v>0.6875</v>
      </c>
      <c r="J21" s="796">
        <v>0</v>
      </c>
      <c r="K21" s="326"/>
      <c r="L21" s="242"/>
      <c r="M21" s="826"/>
      <c r="N21" s="829"/>
      <c r="O21" s="93">
        <v>0.6875</v>
      </c>
      <c r="P21" s="100">
        <v>0</v>
      </c>
      <c r="Q21" s="658" t="s">
        <v>43</v>
      </c>
      <c r="R21" s="837" t="s">
        <v>38</v>
      </c>
      <c r="S21" s="636"/>
      <c r="T21" s="527"/>
      <c r="U21" s="527"/>
      <c r="V21" s="527"/>
      <c r="W21" s="527"/>
      <c r="X21" s="527"/>
      <c r="Y21" s="527"/>
      <c r="Z21" s="528"/>
      <c r="AA21" s="636"/>
      <c r="AB21" s="527"/>
      <c r="AC21" s="631"/>
      <c r="AD21" s="631"/>
      <c r="AE21" s="719"/>
      <c r="AF21" s="856"/>
      <c r="AG21" s="842" t="s">
        <v>43</v>
      </c>
      <c r="AH21" s="657" t="s">
        <v>38</v>
      </c>
      <c r="AI21" s="647"/>
      <c r="AJ21" s="151"/>
      <c r="AK21" s="93"/>
      <c r="AL21" s="93"/>
      <c r="AM21" s="93"/>
      <c r="AN21" s="93"/>
      <c r="AO21" s="93"/>
      <c r="AP21" s="93"/>
      <c r="AQ21" s="912"/>
      <c r="AR21" s="912"/>
      <c r="AS21" s="111"/>
      <c r="AT21" s="111"/>
      <c r="AU21" s="93"/>
      <c r="AV21" s="93"/>
      <c r="AW21" s="658" t="s">
        <v>43</v>
      </c>
      <c r="AX21" s="657" t="s">
        <v>38</v>
      </c>
      <c r="AY21" s="358"/>
      <c r="AZ21" s="670"/>
      <c r="BA21" s="576"/>
      <c r="BB21" s="576"/>
      <c r="BC21" s="576"/>
      <c r="BD21" s="576"/>
      <c r="BE21" s="576"/>
      <c r="BF21" s="596"/>
      <c r="BG21" s="168"/>
      <c r="BH21" s="169"/>
      <c r="BI21" s="597"/>
      <c r="BJ21" s="597"/>
      <c r="BK21" s="169"/>
      <c r="BL21" s="171"/>
      <c r="BM21" s="39" t="s">
        <v>43</v>
      </c>
      <c r="BN21" s="566" t="s">
        <v>38</v>
      </c>
      <c r="BO21" s="538"/>
      <c r="BP21" s="540"/>
      <c r="BQ21" s="530">
        <v>0.6875</v>
      </c>
      <c r="BR21" s="530">
        <v>0</v>
      </c>
      <c r="BS21" s="256"/>
      <c r="BT21" s="256"/>
      <c r="BU21" s="530">
        <v>0.6875</v>
      </c>
      <c r="BV21" s="534">
        <v>0</v>
      </c>
      <c r="BW21" s="551"/>
      <c r="BX21" s="550"/>
      <c r="BY21" s="550"/>
      <c r="BZ21" s="550"/>
      <c r="CA21" s="539"/>
      <c r="CB21" s="540"/>
    </row>
    <row r="22" spans="1:80" s="27" customFormat="1" ht="19.5" hidden="1" thickBot="1" x14ac:dyDescent="0.35">
      <c r="A22" s="763"/>
      <c r="B22" s="624" t="s">
        <v>38</v>
      </c>
      <c r="C22" s="529"/>
      <c r="D22" s="527"/>
      <c r="E22" s="527"/>
      <c r="F22" s="527"/>
      <c r="G22" s="527"/>
      <c r="H22" s="527"/>
      <c r="I22" s="527"/>
      <c r="J22" s="673"/>
      <c r="K22" s="830"/>
      <c r="L22" s="829"/>
      <c r="M22" s="829"/>
      <c r="N22" s="829"/>
      <c r="O22" s="242"/>
      <c r="P22" s="424"/>
      <c r="Q22" s="658" t="s">
        <v>44</v>
      </c>
      <c r="R22" s="838" t="s">
        <v>38</v>
      </c>
      <c r="S22" s="636"/>
      <c r="T22" s="527"/>
      <c r="U22" s="527"/>
      <c r="V22" s="527"/>
      <c r="W22" s="527"/>
      <c r="X22" s="527"/>
      <c r="Y22" s="527"/>
      <c r="Z22" s="528"/>
      <c r="AA22" s="636"/>
      <c r="AB22" s="527"/>
      <c r="AC22" s="677"/>
      <c r="AD22" s="677"/>
      <c r="AE22" s="527"/>
      <c r="AF22" s="528"/>
      <c r="AG22" s="842" t="s">
        <v>44</v>
      </c>
      <c r="AH22" s="659" t="s">
        <v>38</v>
      </c>
      <c r="AI22" s="646"/>
      <c r="AJ22" s="644"/>
      <c r="AK22" s="93"/>
      <c r="AL22" s="93"/>
      <c r="AM22" s="93"/>
      <c r="AN22" s="93"/>
      <c r="AO22" s="93"/>
      <c r="AP22" s="93"/>
      <c r="AQ22" s="645"/>
      <c r="AR22" s="645"/>
      <c r="AS22" s="644"/>
      <c r="AT22" s="644"/>
      <c r="AU22" s="644"/>
      <c r="AV22" s="644"/>
      <c r="AW22" s="658" t="s">
        <v>44</v>
      </c>
      <c r="AX22" s="659" t="s">
        <v>38</v>
      </c>
      <c r="AY22" s="560"/>
      <c r="AZ22" s="542"/>
      <c r="BA22" s="530">
        <v>0.6875</v>
      </c>
      <c r="BB22" s="530">
        <v>0</v>
      </c>
      <c r="BC22" s="530">
        <v>0.6875</v>
      </c>
      <c r="BD22" s="530">
        <v>0</v>
      </c>
      <c r="BE22" s="530">
        <v>0.6875</v>
      </c>
      <c r="BF22" s="534">
        <v>0</v>
      </c>
      <c r="BG22" s="585"/>
      <c r="BH22" s="586"/>
      <c r="BI22" s="586"/>
      <c r="BJ22" s="586"/>
      <c r="BK22" s="542"/>
      <c r="BL22" s="584"/>
      <c r="BM22" s="39" t="s">
        <v>44</v>
      </c>
      <c r="BN22" s="566" t="s">
        <v>38</v>
      </c>
      <c r="BO22" s="538"/>
      <c r="BP22" s="540"/>
      <c r="BQ22" s="530">
        <v>0.6875</v>
      </c>
      <c r="BR22" s="530">
        <v>0</v>
      </c>
      <c r="BS22" s="530">
        <v>0.6875</v>
      </c>
      <c r="BT22" s="530">
        <v>0</v>
      </c>
      <c r="BU22" s="530">
        <v>0.6875</v>
      </c>
      <c r="BV22" s="534">
        <v>0</v>
      </c>
      <c r="BW22" s="551"/>
      <c r="BX22" s="550"/>
      <c r="BY22" s="550"/>
      <c r="BZ22" s="550"/>
      <c r="CA22" s="539"/>
      <c r="CB22" s="540"/>
    </row>
    <row r="23" spans="1:80" s="27" customFormat="1" ht="19.5" hidden="1" thickBot="1" x14ac:dyDescent="0.35">
      <c r="A23" s="763"/>
      <c r="B23" s="612" t="s">
        <v>38</v>
      </c>
      <c r="C23" s="529"/>
      <c r="D23" s="527"/>
      <c r="E23" s="527"/>
      <c r="F23" s="527"/>
      <c r="G23" s="527"/>
      <c r="H23" s="527"/>
      <c r="I23" s="527"/>
      <c r="J23" s="673"/>
      <c r="K23" s="830"/>
      <c r="L23" s="829"/>
      <c r="M23" s="829"/>
      <c r="N23" s="829"/>
      <c r="O23" s="242"/>
      <c r="P23" s="424"/>
      <c r="Q23" s="658" t="s">
        <v>45</v>
      </c>
      <c r="R23" s="838" t="s">
        <v>38</v>
      </c>
      <c r="S23" s="636"/>
      <c r="T23" s="527"/>
      <c r="U23" s="527"/>
      <c r="V23" s="527"/>
      <c r="W23" s="527"/>
      <c r="X23" s="527"/>
      <c r="Y23" s="527"/>
      <c r="Z23" s="528"/>
      <c r="AA23" s="678"/>
      <c r="AB23" s="677"/>
      <c r="AC23" s="677"/>
      <c r="AD23" s="677"/>
      <c r="AE23" s="527"/>
      <c r="AF23" s="528"/>
      <c r="AG23" s="842" t="s">
        <v>45</v>
      </c>
      <c r="AH23" s="659" t="s">
        <v>38</v>
      </c>
      <c r="AI23" s="646"/>
      <c r="AJ23" s="644"/>
      <c r="AK23" s="93"/>
      <c r="AL23" s="93"/>
      <c r="AM23" s="93"/>
      <c r="AN23" s="93"/>
      <c r="AO23" s="93"/>
      <c r="AP23" s="93"/>
      <c r="AQ23" s="645"/>
      <c r="AR23" s="645"/>
      <c r="AS23" s="644"/>
      <c r="AT23" s="644"/>
      <c r="AU23" s="644"/>
      <c r="AV23" s="644"/>
      <c r="AW23" s="658" t="s">
        <v>45</v>
      </c>
      <c r="AX23" s="659" t="s">
        <v>38</v>
      </c>
      <c r="AY23" s="541"/>
      <c r="AZ23" s="539"/>
      <c r="BA23" s="530">
        <v>0.6875</v>
      </c>
      <c r="BB23" s="530">
        <v>0</v>
      </c>
      <c r="BC23" s="530">
        <v>0.6875</v>
      </c>
      <c r="BD23" s="530">
        <v>0</v>
      </c>
      <c r="BE23" s="530">
        <v>0.6875</v>
      </c>
      <c r="BF23" s="534">
        <v>0</v>
      </c>
      <c r="BG23" s="551"/>
      <c r="BH23" s="550"/>
      <c r="BI23" s="550"/>
      <c r="BJ23" s="550"/>
      <c r="BK23" s="539"/>
      <c r="BL23" s="540"/>
      <c r="BM23" s="39" t="s">
        <v>45</v>
      </c>
      <c r="BN23" s="566" t="s">
        <v>38</v>
      </c>
      <c r="BO23" s="538"/>
      <c r="BP23" s="540"/>
      <c r="BQ23" s="530">
        <v>0.6875</v>
      </c>
      <c r="BR23" s="530">
        <v>0</v>
      </c>
      <c r="BS23" s="530">
        <v>0.6875</v>
      </c>
      <c r="BT23" s="530">
        <v>0</v>
      </c>
      <c r="BU23" s="530">
        <v>0.6875</v>
      </c>
      <c r="BV23" s="534">
        <v>0</v>
      </c>
      <c r="BW23" s="551"/>
      <c r="BX23" s="550"/>
      <c r="BY23" s="550"/>
      <c r="BZ23" s="550"/>
      <c r="CA23" s="539"/>
      <c r="CB23" s="540"/>
    </row>
    <row r="24" spans="1:80" ht="21" hidden="1" customHeight="1" x14ac:dyDescent="0.3">
      <c r="A24" s="763"/>
      <c r="B24" s="612" t="s">
        <v>38</v>
      </c>
      <c r="C24" s="529"/>
      <c r="D24" s="527"/>
      <c r="E24" s="527"/>
      <c r="F24" s="527"/>
      <c r="G24" s="527"/>
      <c r="H24" s="527"/>
      <c r="I24" s="527"/>
      <c r="J24" s="673"/>
      <c r="K24" s="830"/>
      <c r="L24" s="829"/>
      <c r="M24" s="829"/>
      <c r="N24" s="829"/>
      <c r="O24" s="242"/>
      <c r="P24" s="424"/>
      <c r="Q24" s="658" t="s">
        <v>46</v>
      </c>
      <c r="R24" s="838">
        <v>1</v>
      </c>
      <c r="S24" s="636"/>
      <c r="T24" s="527"/>
      <c r="U24" s="527"/>
      <c r="V24" s="527"/>
      <c r="W24" s="527"/>
      <c r="X24" s="527"/>
      <c r="Y24" s="527"/>
      <c r="Z24" s="528"/>
      <c r="AA24" s="678"/>
      <c r="AB24" s="677"/>
      <c r="AC24" s="677"/>
      <c r="AD24" s="677"/>
      <c r="AE24" s="527"/>
      <c r="AF24" s="528"/>
      <c r="AG24" s="842" t="s">
        <v>46</v>
      </c>
      <c r="AH24" s="659">
        <v>1</v>
      </c>
      <c r="AI24" s="646"/>
      <c r="AJ24" s="644"/>
      <c r="AK24" s="93"/>
      <c r="AL24" s="93"/>
      <c r="AM24" s="93"/>
      <c r="AN24" s="93"/>
      <c r="AO24" s="93"/>
      <c r="AP24" s="93"/>
      <c r="AQ24" s="645"/>
      <c r="AR24" s="645"/>
      <c r="AS24" s="644"/>
      <c r="AT24" s="644"/>
      <c r="AU24" s="644"/>
      <c r="AV24" s="644"/>
      <c r="AW24" s="658" t="s">
        <v>46</v>
      </c>
      <c r="AX24" s="659">
        <v>1</v>
      </c>
      <c r="AY24" s="541"/>
      <c r="AZ24" s="539"/>
      <c r="BA24" s="530">
        <v>0.6875</v>
      </c>
      <c r="BB24" s="530">
        <v>0</v>
      </c>
      <c r="BC24" s="530">
        <v>0.6875</v>
      </c>
      <c r="BD24" s="530">
        <v>0</v>
      </c>
      <c r="BE24" s="530">
        <v>0.6875</v>
      </c>
      <c r="BF24" s="534">
        <v>0</v>
      </c>
      <c r="BG24" s="551"/>
      <c r="BH24" s="550"/>
      <c r="BI24" s="550"/>
      <c r="BJ24" s="550"/>
      <c r="BK24" s="539"/>
      <c r="BL24" s="540"/>
      <c r="BM24" s="39" t="s">
        <v>46</v>
      </c>
      <c r="BN24" s="566">
        <v>1</v>
      </c>
      <c r="BO24" s="538"/>
      <c r="BP24" s="540"/>
      <c r="BQ24" s="530">
        <v>0.6875</v>
      </c>
      <c r="BR24" s="530">
        <v>0</v>
      </c>
      <c r="BS24" s="530">
        <v>0.6875</v>
      </c>
      <c r="BT24" s="530">
        <v>0</v>
      </c>
      <c r="BU24" s="530">
        <v>0.6875</v>
      </c>
      <c r="BV24" s="534">
        <v>0</v>
      </c>
      <c r="BW24" s="551"/>
      <c r="BX24" s="550"/>
      <c r="BY24" s="550"/>
      <c r="BZ24" s="550"/>
      <c r="CA24" s="539"/>
      <c r="CB24" s="540"/>
    </row>
    <row r="25" spans="1:80" ht="20.25" hidden="1" customHeight="1" x14ac:dyDescent="0.3">
      <c r="A25" s="763"/>
      <c r="B25" s="378" t="s">
        <v>38</v>
      </c>
      <c r="C25" s="529"/>
      <c r="D25" s="527"/>
      <c r="E25" s="527"/>
      <c r="F25" s="527"/>
      <c r="G25" s="527"/>
      <c r="H25" s="527"/>
      <c r="I25" s="527"/>
      <c r="J25" s="673"/>
      <c r="K25" s="830"/>
      <c r="L25" s="829"/>
      <c r="M25" s="829"/>
      <c r="N25" s="829"/>
      <c r="O25" s="242"/>
      <c r="P25" s="424"/>
      <c r="Q25" s="658" t="s">
        <v>46</v>
      </c>
      <c r="R25" s="838">
        <v>2</v>
      </c>
      <c r="S25" s="636"/>
      <c r="T25" s="527"/>
      <c r="U25" s="527"/>
      <c r="V25" s="527"/>
      <c r="W25" s="527"/>
      <c r="X25" s="527"/>
      <c r="Y25" s="527"/>
      <c r="Z25" s="528"/>
      <c r="AA25" s="678"/>
      <c r="AB25" s="677"/>
      <c r="AC25" s="677"/>
      <c r="AD25" s="677"/>
      <c r="AE25" s="527"/>
      <c r="AF25" s="528"/>
      <c r="AG25" s="842" t="s">
        <v>46</v>
      </c>
      <c r="AH25" s="659">
        <v>2</v>
      </c>
      <c r="AI25" s="646"/>
      <c r="AJ25" s="644"/>
      <c r="AK25" s="93"/>
      <c r="AL25" s="93"/>
      <c r="AM25" s="93"/>
      <c r="AN25" s="93"/>
      <c r="AO25" s="93"/>
      <c r="AP25" s="93"/>
      <c r="AQ25" s="645"/>
      <c r="AR25" s="645"/>
      <c r="AS25" s="644"/>
      <c r="AT25" s="644"/>
      <c r="AU25" s="644"/>
      <c r="AV25" s="644"/>
      <c r="AW25" s="658" t="s">
        <v>46</v>
      </c>
      <c r="AX25" s="659">
        <v>2</v>
      </c>
      <c r="AY25" s="107"/>
      <c r="AZ25" s="106"/>
      <c r="BA25" s="530">
        <v>0.6875</v>
      </c>
      <c r="BB25" s="530">
        <v>0</v>
      </c>
      <c r="BC25" s="530">
        <v>0.6875</v>
      </c>
      <c r="BD25" s="530">
        <v>0</v>
      </c>
      <c r="BE25" s="530">
        <v>0.6875</v>
      </c>
      <c r="BF25" s="534">
        <v>0</v>
      </c>
      <c r="BG25" s="552"/>
      <c r="BH25" s="553"/>
      <c r="BI25" s="553"/>
      <c r="BJ25" s="553"/>
      <c r="BK25" s="106"/>
      <c r="BL25" s="558"/>
      <c r="BM25" s="544" t="s">
        <v>46</v>
      </c>
      <c r="BN25" s="575">
        <v>2</v>
      </c>
      <c r="BO25" s="547"/>
      <c r="BP25" s="558"/>
      <c r="BQ25" s="530">
        <v>0.6875</v>
      </c>
      <c r="BR25" s="530">
        <v>0</v>
      </c>
      <c r="BS25" s="530">
        <v>0.6875</v>
      </c>
      <c r="BT25" s="530">
        <v>0</v>
      </c>
      <c r="BU25" s="530">
        <v>0.6875</v>
      </c>
      <c r="BV25" s="534">
        <v>0</v>
      </c>
      <c r="BW25" s="552"/>
      <c r="BX25" s="553"/>
      <c r="BY25" s="553"/>
      <c r="BZ25" s="553"/>
      <c r="CA25" s="106"/>
      <c r="CB25" s="558"/>
    </row>
    <row r="26" spans="1:80" ht="20.25" hidden="1" customHeight="1" x14ac:dyDescent="0.3">
      <c r="A26" s="763"/>
      <c r="B26" s="760"/>
      <c r="C26" s="755"/>
      <c r="D26" s="680"/>
      <c r="E26" s="680"/>
      <c r="F26" s="680"/>
      <c r="G26" s="680"/>
      <c r="H26" s="680"/>
      <c r="I26" s="680"/>
      <c r="J26" s="681"/>
      <c r="K26" s="791"/>
      <c r="L26" s="792"/>
      <c r="M26" s="792"/>
      <c r="N26" s="792"/>
      <c r="O26" s="831"/>
      <c r="P26" s="878"/>
      <c r="Q26" s="660"/>
      <c r="R26" s="839"/>
      <c r="S26" s="851"/>
      <c r="T26" s="850"/>
      <c r="U26" s="682"/>
      <c r="V26" s="682"/>
      <c r="W26" s="642"/>
      <c r="X26" s="682"/>
      <c r="Y26" s="682"/>
      <c r="Z26" s="683"/>
      <c r="AA26" s="857"/>
      <c r="AB26" s="682"/>
      <c r="AC26" s="682"/>
      <c r="AD26" s="682"/>
      <c r="AE26" s="682"/>
      <c r="AF26" s="683"/>
      <c r="AG26" s="843"/>
      <c r="AH26" s="661"/>
      <c r="AI26" s="646"/>
      <c r="AJ26" s="644"/>
      <c r="AK26" s="644"/>
      <c r="AL26" s="644"/>
      <c r="AM26" s="644"/>
      <c r="AN26" s="644"/>
      <c r="AO26" s="644"/>
      <c r="AP26" s="644"/>
      <c r="AQ26" s="645"/>
      <c r="AR26" s="645"/>
      <c r="AS26" s="644"/>
      <c r="AT26" s="644"/>
      <c r="AU26" s="644"/>
      <c r="AV26" s="644"/>
      <c r="AW26" s="660"/>
      <c r="AX26" s="661"/>
      <c r="AY26" s="598"/>
      <c r="AZ26" s="599"/>
      <c r="BA26" s="600"/>
      <c r="BB26" s="601"/>
      <c r="BC26" s="600"/>
      <c r="BD26" s="601"/>
      <c r="BE26" s="602"/>
      <c r="BF26" s="603"/>
      <c r="BG26" s="604"/>
      <c r="BH26" s="605"/>
      <c r="BI26" s="606"/>
      <c r="BJ26" s="607"/>
      <c r="BK26" s="608"/>
      <c r="BL26" s="607"/>
      <c r="BM26" s="13"/>
      <c r="BN26" s="13"/>
      <c r="BO26" s="524"/>
      <c r="BP26" s="524"/>
      <c r="BQ26" s="524"/>
      <c r="BR26" s="524"/>
      <c r="BS26" s="525"/>
      <c r="BT26" s="525"/>
      <c r="BU26" s="525"/>
      <c r="BV26" s="525"/>
      <c r="BW26" s="525"/>
      <c r="BX26" s="525"/>
      <c r="BY26" s="525"/>
      <c r="BZ26" s="525"/>
      <c r="CA26" s="525"/>
      <c r="CB26" s="525"/>
    </row>
    <row r="27" spans="1:80" ht="18.75" x14ac:dyDescent="0.3">
      <c r="A27" s="764" t="s">
        <v>47</v>
      </c>
      <c r="B27" s="613" t="s">
        <v>38</v>
      </c>
      <c r="C27" s="723">
        <v>0.6875</v>
      </c>
      <c r="D27" s="610">
        <v>0</v>
      </c>
      <c r="E27" s="726">
        <v>0.72916666666666663</v>
      </c>
      <c r="F27" s="726">
        <v>0</v>
      </c>
      <c r="G27" s="864">
        <v>0.77083333333333337</v>
      </c>
      <c r="H27" s="864">
        <v>6.25E-2</v>
      </c>
      <c r="I27" s="881">
        <v>0.6875</v>
      </c>
      <c r="J27" s="882">
        <v>0</v>
      </c>
      <c r="K27" s="832"/>
      <c r="L27" s="786"/>
      <c r="M27" s="786"/>
      <c r="N27" s="786"/>
      <c r="O27" s="93">
        <v>0.6875</v>
      </c>
      <c r="P27" s="100">
        <v>0</v>
      </c>
      <c r="Q27" s="662" t="s">
        <v>47</v>
      </c>
      <c r="R27" s="840" t="s">
        <v>38</v>
      </c>
      <c r="S27" s="636"/>
      <c r="T27" s="527"/>
      <c r="U27" s="610"/>
      <c r="V27" s="610"/>
      <c r="W27" s="610"/>
      <c r="X27" s="610"/>
      <c r="Y27" s="610"/>
      <c r="Z27" s="694"/>
      <c r="AA27" s="685"/>
      <c r="AB27" s="684"/>
      <c r="AC27" s="684"/>
      <c r="AD27" s="684"/>
      <c r="AE27" s="719"/>
      <c r="AF27" s="856"/>
      <c r="AG27" s="844" t="s">
        <v>47</v>
      </c>
      <c r="AH27" s="663" t="s">
        <v>38</v>
      </c>
      <c r="AI27" s="112"/>
      <c r="AJ27" s="93"/>
      <c r="AK27" s="151"/>
      <c r="AL27" s="151"/>
      <c r="AM27" s="93"/>
      <c r="AN27" s="93"/>
      <c r="AO27" s="151"/>
      <c r="AP27" s="151"/>
      <c r="AQ27" s="645"/>
      <c r="AR27" s="645"/>
      <c r="AS27" s="914"/>
      <c r="AT27" s="914"/>
      <c r="AU27" s="615"/>
      <c r="AV27" s="615"/>
      <c r="AW27" s="662" t="s">
        <v>47</v>
      </c>
      <c r="AX27" s="663" t="s">
        <v>38</v>
      </c>
      <c r="AY27" s="354">
        <v>0.6875</v>
      </c>
      <c r="AZ27" s="158">
        <v>0</v>
      </c>
      <c r="BA27" s="628"/>
      <c r="BB27" s="628"/>
      <c r="BC27" s="158"/>
      <c r="BD27" s="158"/>
      <c r="BE27" s="158"/>
      <c r="BF27" s="206"/>
      <c r="BG27" s="588"/>
      <c r="BH27" s="589"/>
      <c r="BI27" s="590"/>
      <c r="BJ27" s="591"/>
      <c r="BK27" s="158"/>
      <c r="BL27" s="321"/>
      <c r="BM27" s="13"/>
      <c r="BN27" s="13"/>
      <c r="BO27" s="524"/>
      <c r="BP27" s="524"/>
      <c r="BQ27" s="524"/>
      <c r="BR27" s="524"/>
      <c r="BS27" s="526"/>
      <c r="BT27" s="525"/>
      <c r="BU27" s="526"/>
      <c r="BV27" s="525"/>
      <c r="BW27" s="526"/>
      <c r="BX27" s="526"/>
      <c r="BY27" s="526"/>
      <c r="BZ27" s="524"/>
      <c r="CA27" s="524"/>
      <c r="CB27" s="524"/>
    </row>
    <row r="28" spans="1:80" ht="18.75" x14ac:dyDescent="0.3">
      <c r="A28" s="765" t="s">
        <v>48</v>
      </c>
      <c r="B28" s="740" t="s">
        <v>38</v>
      </c>
      <c r="C28" s="756"/>
      <c r="D28" s="721"/>
      <c r="E28" s="726">
        <v>0.72916666666666663</v>
      </c>
      <c r="F28" s="726">
        <v>0</v>
      </c>
      <c r="G28" s="864">
        <v>0.77083333333333337</v>
      </c>
      <c r="H28" s="862">
        <v>6.25E-2</v>
      </c>
      <c r="I28" s="804">
        <v>0.6875</v>
      </c>
      <c r="J28" s="805">
        <v>0</v>
      </c>
      <c r="K28" s="833"/>
      <c r="L28" s="834"/>
      <c r="M28" s="834"/>
      <c r="N28" s="792"/>
      <c r="O28" s="834"/>
      <c r="P28" s="793"/>
      <c r="Q28" s="662" t="s">
        <v>48</v>
      </c>
      <c r="R28" s="840" t="s">
        <v>38</v>
      </c>
      <c r="S28" s="852"/>
      <c r="T28" s="631"/>
      <c r="U28" s="610"/>
      <c r="V28" s="610"/>
      <c r="W28" s="610"/>
      <c r="X28" s="610"/>
      <c r="Y28" s="610"/>
      <c r="Z28" s="694"/>
      <c r="AA28" s="679"/>
      <c r="AB28" s="680"/>
      <c r="AC28" s="680"/>
      <c r="AD28" s="680"/>
      <c r="AE28" s="719"/>
      <c r="AF28" s="856"/>
      <c r="AG28" s="844" t="s">
        <v>48</v>
      </c>
      <c r="AH28" s="663" t="s">
        <v>38</v>
      </c>
      <c r="AI28" s="915"/>
      <c r="AJ28" s="911"/>
      <c r="AK28" s="151"/>
      <c r="AL28" s="151"/>
      <c r="AM28" s="151"/>
      <c r="AN28" s="151"/>
      <c r="AO28" s="93"/>
      <c r="AP28" s="93"/>
      <c r="AQ28" s="645"/>
      <c r="AR28" s="645"/>
      <c r="AS28" s="644"/>
      <c r="AT28" s="644"/>
      <c r="AU28" s="93"/>
      <c r="AV28" s="93"/>
      <c r="AW28" s="662" t="s">
        <v>48</v>
      </c>
      <c r="AX28" s="663" t="s">
        <v>38</v>
      </c>
      <c r="AY28" s="112">
        <v>0.6875</v>
      </c>
      <c r="AZ28" s="93">
        <v>0</v>
      </c>
      <c r="BA28" s="587"/>
      <c r="BB28" s="587"/>
      <c r="BC28" s="156"/>
      <c r="BD28" s="156"/>
      <c r="BE28" s="156"/>
      <c r="BF28" s="157"/>
      <c r="BG28" s="592"/>
      <c r="BH28" s="593"/>
      <c r="BI28" s="593"/>
      <c r="BJ28" s="159"/>
      <c r="BK28" s="159"/>
      <c r="BL28" s="595"/>
      <c r="BM28" s="5"/>
      <c r="BS28" s="5"/>
      <c r="BT28" s="5"/>
      <c r="BU28" s="5"/>
      <c r="BV28" s="5"/>
      <c r="BW28" s="5"/>
      <c r="BX28" s="5"/>
      <c r="BY28" s="5"/>
    </row>
    <row r="29" spans="1:80" ht="18.75" x14ac:dyDescent="0.3">
      <c r="A29" s="626" t="s">
        <v>49</v>
      </c>
      <c r="B29" s="613" t="s">
        <v>38</v>
      </c>
      <c r="C29" s="757"/>
      <c r="D29" s="722"/>
      <c r="E29" s="861">
        <v>0.77083333333333337</v>
      </c>
      <c r="F29" s="861">
        <v>6.25E-2</v>
      </c>
      <c r="G29" s="727">
        <v>0.72916666666666663</v>
      </c>
      <c r="H29" s="726">
        <v>0</v>
      </c>
      <c r="I29" s="881">
        <v>0.58333333333333337</v>
      </c>
      <c r="J29" s="882">
        <v>0.90972222222222221</v>
      </c>
      <c r="K29" s="768"/>
      <c r="L29" s="769"/>
      <c r="M29" s="899">
        <v>0.64583333333333337</v>
      </c>
      <c r="N29" s="900">
        <v>0.96527777777777779</v>
      </c>
      <c r="O29" s="770"/>
      <c r="P29" s="771"/>
      <c r="Q29" s="662" t="s">
        <v>49</v>
      </c>
      <c r="R29" s="840" t="s">
        <v>38</v>
      </c>
      <c r="S29" s="853"/>
      <c r="T29" s="684"/>
      <c r="U29" s="610"/>
      <c r="V29" s="610"/>
      <c r="W29" s="610"/>
      <c r="X29" s="610"/>
      <c r="Y29" s="610"/>
      <c r="Z29" s="694"/>
      <c r="AA29" s="679"/>
      <c r="AB29" s="680"/>
      <c r="AC29" s="680"/>
      <c r="AD29" s="680"/>
      <c r="AE29" s="680"/>
      <c r="AF29" s="693"/>
      <c r="AG29" s="844" t="s">
        <v>49</v>
      </c>
      <c r="AH29" s="663" t="s">
        <v>38</v>
      </c>
      <c r="AI29" s="647"/>
      <c r="AJ29" s="151"/>
      <c r="AK29" s="93"/>
      <c r="AL29" s="93"/>
      <c r="AM29" s="93"/>
      <c r="AN29" s="93"/>
      <c r="AO29" s="151"/>
      <c r="AP29" s="151"/>
      <c r="AQ29" s="151"/>
      <c r="AR29" s="151"/>
      <c r="AS29" s="644"/>
      <c r="AT29" s="644"/>
      <c r="AU29" s="644"/>
      <c r="AV29" s="644"/>
      <c r="AW29" s="662" t="s">
        <v>49</v>
      </c>
      <c r="AX29" s="663" t="s">
        <v>38</v>
      </c>
      <c r="AY29" s="668"/>
      <c r="AZ29" s="327"/>
      <c r="BA29" s="156"/>
      <c r="BB29" s="156"/>
      <c r="BC29" s="156"/>
      <c r="BD29" s="156"/>
      <c r="BE29" s="156"/>
      <c r="BF29" s="157"/>
      <c r="BG29" s="113"/>
      <c r="BH29" s="93"/>
      <c r="BI29" s="114"/>
      <c r="BJ29" s="114"/>
      <c r="BK29" s="93"/>
      <c r="BL29" s="100"/>
      <c r="BM29" s="5"/>
      <c r="BS29" s="5"/>
      <c r="BT29" s="5"/>
      <c r="BU29" s="5"/>
      <c r="BV29" s="5"/>
      <c r="BW29" s="5"/>
      <c r="BX29" s="5"/>
      <c r="BY29" s="5"/>
    </row>
    <row r="30" spans="1:80" ht="19.5" thickBot="1" x14ac:dyDescent="0.35">
      <c r="A30" s="752" t="s">
        <v>50</v>
      </c>
      <c r="B30" s="740" t="s">
        <v>38</v>
      </c>
      <c r="C30" s="758"/>
      <c r="D30" s="724"/>
      <c r="E30" s="753">
        <v>0.6875</v>
      </c>
      <c r="F30" s="753">
        <v>0</v>
      </c>
      <c r="G30" s="862">
        <v>0.80208333333333337</v>
      </c>
      <c r="H30" s="862">
        <v>9.375E-2</v>
      </c>
      <c r="I30" s="741">
        <v>0.72916666666666663</v>
      </c>
      <c r="J30" s="767">
        <v>0</v>
      </c>
      <c r="K30" s="897">
        <v>0.6875</v>
      </c>
      <c r="L30" s="898">
        <v>0</v>
      </c>
      <c r="M30" s="789"/>
      <c r="N30" s="789"/>
      <c r="O30" s="789"/>
      <c r="P30" s="790"/>
      <c r="Q30" s="662" t="s">
        <v>50</v>
      </c>
      <c r="R30" s="840" t="s">
        <v>38</v>
      </c>
      <c r="S30" s="853"/>
      <c r="T30" s="684"/>
      <c r="U30" s="610"/>
      <c r="V30" s="610"/>
      <c r="W30" s="610"/>
      <c r="X30" s="610"/>
      <c r="Y30" s="610"/>
      <c r="Z30" s="694"/>
      <c r="AA30" s="679"/>
      <c r="AB30" s="680"/>
      <c r="AC30" s="680"/>
      <c r="AD30" s="680"/>
      <c r="AE30" s="680"/>
      <c r="AF30" s="693"/>
      <c r="AG30" s="845" t="s">
        <v>50</v>
      </c>
      <c r="AH30" s="665" t="s">
        <v>38</v>
      </c>
      <c r="AI30" s="647"/>
      <c r="AJ30" s="151"/>
      <c r="AK30" s="93"/>
      <c r="AL30" s="93"/>
      <c r="AM30" s="151"/>
      <c r="AN30" s="151"/>
      <c r="AO30" s="151"/>
      <c r="AP30" s="151"/>
      <c r="AQ30" s="151"/>
      <c r="AR30" s="151"/>
      <c r="AS30" s="644"/>
      <c r="AT30" s="644"/>
      <c r="AU30" s="644"/>
      <c r="AV30" s="644"/>
      <c r="AW30" s="664" t="s">
        <v>50</v>
      </c>
      <c r="AX30" s="665" t="s">
        <v>38</v>
      </c>
      <c r="AY30" s="240"/>
      <c r="AZ30" s="242"/>
      <c r="BA30" s="156"/>
      <c r="BB30" s="156"/>
      <c r="BC30" s="156"/>
      <c r="BD30" s="156"/>
      <c r="BE30" s="156"/>
      <c r="BF30" s="157"/>
      <c r="BG30" s="592"/>
      <c r="BH30" s="593"/>
      <c r="BI30" s="593"/>
      <c r="BJ30" s="159"/>
      <c r="BK30" s="93"/>
      <c r="BL30" s="100"/>
      <c r="BM30" s="5"/>
      <c r="BS30" s="5"/>
      <c r="BT30" s="5"/>
      <c r="BU30" s="5"/>
      <c r="BV30" s="5"/>
      <c r="BW30" s="5"/>
      <c r="BX30" s="5"/>
      <c r="BY30" s="5"/>
    </row>
    <row r="31" spans="1:80" ht="18.75" x14ac:dyDescent="0.3">
      <c r="A31" s="764" t="s">
        <v>51</v>
      </c>
      <c r="B31" s="613" t="s">
        <v>38</v>
      </c>
      <c r="C31" s="785"/>
      <c r="D31" s="786"/>
      <c r="E31" s="858">
        <v>0.6875</v>
      </c>
      <c r="F31" s="858">
        <v>0</v>
      </c>
      <c r="G31" s="151">
        <v>0.6875</v>
      </c>
      <c r="H31" s="151">
        <v>0</v>
      </c>
      <c r="I31" s="884">
        <v>0.66666666666666663</v>
      </c>
      <c r="J31" s="885">
        <v>0.97916666666666663</v>
      </c>
      <c r="K31" s="791"/>
      <c r="L31" s="792"/>
      <c r="M31" s="792"/>
      <c r="N31" s="792"/>
      <c r="O31" s="792"/>
      <c r="P31" s="793"/>
      <c r="Q31" s="662"/>
      <c r="R31" s="840" t="s">
        <v>38</v>
      </c>
      <c r="S31" s="853"/>
      <c r="T31" s="684"/>
      <c r="U31" s="610"/>
      <c r="V31" s="610"/>
      <c r="W31" s="610"/>
      <c r="X31" s="610"/>
      <c r="Y31" s="610"/>
      <c r="Z31" s="694"/>
      <c r="AA31" s="679"/>
      <c r="AB31" s="680"/>
      <c r="AC31" s="680"/>
      <c r="AD31" s="680"/>
      <c r="AE31" s="680"/>
      <c r="AF31" s="693"/>
      <c r="AG31" s="742"/>
      <c r="AH31" s="743"/>
      <c r="AI31" s="744"/>
      <c r="AJ31" s="745"/>
      <c r="AK31" s="156"/>
      <c r="AL31" s="156"/>
      <c r="AM31" s="745"/>
      <c r="AN31" s="745"/>
      <c r="AO31" s="745"/>
      <c r="AP31" s="745"/>
      <c r="AQ31" s="745"/>
      <c r="AR31" s="745"/>
      <c r="AS31" s="916"/>
      <c r="AT31" s="916"/>
      <c r="AU31" s="916"/>
      <c r="AV31" s="916"/>
      <c r="AW31" s="742"/>
      <c r="AX31" s="743"/>
      <c r="AY31" s="749"/>
      <c r="AZ31" s="749"/>
      <c r="BA31" s="625"/>
      <c r="BB31" s="625"/>
      <c r="BC31" s="625"/>
      <c r="BD31" s="625"/>
      <c r="BE31" s="625"/>
      <c r="BF31" s="625"/>
      <c r="BG31" s="750"/>
      <c r="BH31" s="750"/>
      <c r="BI31" s="750"/>
      <c r="BJ31" s="751"/>
      <c r="BK31" s="625"/>
      <c r="BL31" s="625"/>
      <c r="BM31" s="5"/>
      <c r="BS31" s="5"/>
      <c r="BT31" s="5"/>
      <c r="BU31" s="5"/>
      <c r="BV31" s="5"/>
      <c r="BW31" s="5"/>
      <c r="BX31" s="5"/>
      <c r="BY31" s="5"/>
    </row>
    <row r="32" spans="1:80" ht="18.75" x14ac:dyDescent="0.3">
      <c r="A32" s="764" t="s">
        <v>52</v>
      </c>
      <c r="B32" s="627"/>
      <c r="C32" s="756"/>
      <c r="D32" s="721"/>
      <c r="E32" s="858">
        <v>0.6875</v>
      </c>
      <c r="F32" s="858">
        <v>0</v>
      </c>
      <c r="G32" s="151">
        <v>0.6875</v>
      </c>
      <c r="H32" s="151">
        <v>0.6875</v>
      </c>
      <c r="I32" s="871">
        <v>0.6875</v>
      </c>
      <c r="J32" s="872">
        <v>0</v>
      </c>
      <c r="K32" s="833"/>
      <c r="L32" s="834"/>
      <c r="M32" s="753">
        <v>0.6875</v>
      </c>
      <c r="N32" s="753">
        <v>0</v>
      </c>
      <c r="O32" s="834"/>
      <c r="P32" s="879"/>
      <c r="Q32" s="866"/>
      <c r="R32" s="867"/>
      <c r="S32" s="868"/>
      <c r="T32" s="869"/>
      <c r="U32" s="690"/>
      <c r="V32" s="690"/>
      <c r="W32" s="690"/>
      <c r="X32" s="690"/>
      <c r="Y32" s="690"/>
      <c r="Z32" s="720"/>
      <c r="AA32" s="691"/>
      <c r="AB32" s="692"/>
      <c r="AC32" s="692"/>
      <c r="AD32" s="692"/>
      <c r="AE32" s="692"/>
      <c r="AF32" s="870"/>
      <c r="AG32" s="742"/>
      <c r="AH32" s="743"/>
      <c r="AI32" s="744"/>
      <c r="AJ32" s="745"/>
      <c r="AK32" s="156"/>
      <c r="AL32" s="156"/>
      <c r="AM32" s="745"/>
      <c r="AN32" s="745"/>
      <c r="AO32" s="745"/>
      <c r="AP32" s="745"/>
      <c r="AQ32" s="745"/>
      <c r="AR32" s="745"/>
      <c r="AS32" s="916"/>
      <c r="AT32" s="916"/>
      <c r="AU32" s="916"/>
      <c r="AV32" s="916"/>
      <c r="AW32" s="742"/>
      <c r="AX32" s="743"/>
      <c r="AY32" s="749"/>
      <c r="AZ32" s="749"/>
      <c r="BA32" s="625"/>
      <c r="BB32" s="625"/>
      <c r="BC32" s="625"/>
      <c r="BD32" s="625"/>
      <c r="BE32" s="625"/>
      <c r="BF32" s="625"/>
      <c r="BG32" s="750"/>
      <c r="BH32" s="750"/>
      <c r="BI32" s="750"/>
      <c r="BJ32" s="751"/>
      <c r="BK32" s="625"/>
      <c r="BL32" s="625"/>
      <c r="BM32" s="5"/>
      <c r="BS32" s="5"/>
      <c r="BT32" s="5"/>
      <c r="BU32" s="5"/>
      <c r="BV32" s="5"/>
      <c r="BW32" s="5"/>
      <c r="BX32" s="5"/>
      <c r="BY32" s="5"/>
    </row>
    <row r="33" spans="1:77" ht="18.75" x14ac:dyDescent="0.3">
      <c r="A33" s="764" t="s">
        <v>53</v>
      </c>
      <c r="B33" s="627"/>
      <c r="C33" s="756"/>
      <c r="D33" s="721"/>
      <c r="E33" s="858">
        <v>0.6875</v>
      </c>
      <c r="F33" s="858">
        <v>0</v>
      </c>
      <c r="G33" s="151">
        <v>0.6875</v>
      </c>
      <c r="H33" s="151">
        <v>0</v>
      </c>
      <c r="I33" s="871">
        <v>0.6875</v>
      </c>
      <c r="J33" s="872">
        <v>0</v>
      </c>
      <c r="K33" s="833"/>
      <c r="L33" s="834"/>
      <c r="M33" s="834"/>
      <c r="N33" s="834"/>
      <c r="O33" s="834"/>
      <c r="P33" s="879"/>
      <c r="Q33" s="866"/>
      <c r="R33" s="867"/>
      <c r="S33" s="868"/>
      <c r="T33" s="869"/>
      <c r="U33" s="690"/>
      <c r="V33" s="690"/>
      <c r="W33" s="690"/>
      <c r="X33" s="690"/>
      <c r="Y33" s="690"/>
      <c r="Z33" s="720"/>
      <c r="AA33" s="691"/>
      <c r="AB33" s="692"/>
      <c r="AC33" s="692"/>
      <c r="AD33" s="692"/>
      <c r="AE33" s="692"/>
      <c r="AF33" s="870"/>
      <c r="AG33" s="742"/>
      <c r="AH33" s="743"/>
      <c r="AI33" s="744"/>
      <c r="AJ33" s="745"/>
      <c r="AK33" s="156"/>
      <c r="AL33" s="156"/>
      <c r="AM33" s="745"/>
      <c r="AN33" s="745"/>
      <c r="AO33" s="745"/>
      <c r="AP33" s="745"/>
      <c r="AQ33" s="745"/>
      <c r="AR33" s="745"/>
      <c r="AS33" s="916"/>
      <c r="AT33" s="916"/>
      <c r="AU33" s="916"/>
      <c r="AV33" s="916"/>
      <c r="AW33" s="742"/>
      <c r="AX33" s="743"/>
      <c r="AY33" s="749"/>
      <c r="AZ33" s="749"/>
      <c r="BA33" s="625"/>
      <c r="BB33" s="625"/>
      <c r="BC33" s="625"/>
      <c r="BD33" s="625"/>
      <c r="BE33" s="625"/>
      <c r="BF33" s="625"/>
      <c r="BG33" s="750"/>
      <c r="BH33" s="750"/>
      <c r="BI33" s="750"/>
      <c r="BJ33" s="751"/>
      <c r="BK33" s="625"/>
      <c r="BL33" s="625"/>
      <c r="BM33" s="5"/>
      <c r="BS33" s="5"/>
      <c r="BT33" s="5"/>
      <c r="BU33" s="5"/>
      <c r="BV33" s="5"/>
      <c r="BW33" s="5"/>
      <c r="BX33" s="5"/>
      <c r="BY33" s="5"/>
    </row>
    <row r="34" spans="1:77" ht="18.75" x14ac:dyDescent="0.3">
      <c r="A34" s="764" t="s">
        <v>54</v>
      </c>
      <c r="B34" s="627"/>
      <c r="C34" s="756"/>
      <c r="D34" s="721"/>
      <c r="E34" s="858">
        <v>0.6875</v>
      </c>
      <c r="F34" s="858">
        <v>0</v>
      </c>
      <c r="G34" s="151">
        <v>0.6875</v>
      </c>
      <c r="H34" s="151">
        <v>0</v>
      </c>
      <c r="I34" s="629">
        <v>0.75</v>
      </c>
      <c r="J34" s="883">
        <v>4.1666666666666664E-2</v>
      </c>
      <c r="K34" s="833"/>
      <c r="L34" s="834"/>
      <c r="M34" s="834"/>
      <c r="N34" s="834"/>
      <c r="O34" s="753">
        <v>0.75</v>
      </c>
      <c r="P34" s="901">
        <v>4.1666666666666664E-2</v>
      </c>
      <c r="Q34" s="866"/>
      <c r="R34" s="867"/>
      <c r="S34" s="868"/>
      <c r="T34" s="869"/>
      <c r="U34" s="690"/>
      <c r="V34" s="690"/>
      <c r="W34" s="690"/>
      <c r="X34" s="690"/>
      <c r="Y34" s="690"/>
      <c r="Z34" s="720"/>
      <c r="AA34" s="691"/>
      <c r="AB34" s="692"/>
      <c r="AC34" s="692"/>
      <c r="AD34" s="692"/>
      <c r="AE34" s="692"/>
      <c r="AF34" s="870"/>
      <c r="AG34" s="742"/>
      <c r="AH34" s="743"/>
      <c r="AI34" s="744"/>
      <c r="AJ34" s="745"/>
      <c r="AK34" s="156"/>
      <c r="AL34" s="156"/>
      <c r="AM34" s="745"/>
      <c r="AN34" s="745"/>
      <c r="AO34" s="745"/>
      <c r="AP34" s="745"/>
      <c r="AQ34" s="745"/>
      <c r="AR34" s="745"/>
      <c r="AS34" s="916"/>
      <c r="AT34" s="916"/>
      <c r="AU34" s="916"/>
      <c r="AV34" s="916"/>
      <c r="AW34" s="742"/>
      <c r="AX34" s="743"/>
      <c r="AY34" s="749"/>
      <c r="AZ34" s="749"/>
      <c r="BA34" s="625"/>
      <c r="BB34" s="625"/>
      <c r="BC34" s="625"/>
      <c r="BD34" s="625"/>
      <c r="BE34" s="625"/>
      <c r="BF34" s="625"/>
      <c r="BG34" s="750"/>
      <c r="BH34" s="750"/>
      <c r="BI34" s="750"/>
      <c r="BJ34" s="751"/>
      <c r="BK34" s="625"/>
      <c r="BL34" s="625"/>
      <c r="BM34" s="5"/>
      <c r="BS34" s="5"/>
      <c r="BT34" s="5"/>
      <c r="BU34" s="5"/>
      <c r="BV34" s="5"/>
      <c r="BW34" s="5"/>
      <c r="BX34" s="5"/>
      <c r="BY34" s="5"/>
    </row>
    <row r="35" spans="1:77" ht="19.5" thickBot="1" x14ac:dyDescent="0.35">
      <c r="A35" s="766" t="s">
        <v>55</v>
      </c>
      <c r="B35" s="761"/>
      <c r="C35" s="787"/>
      <c r="D35" s="788"/>
      <c r="E35" s="859">
        <v>0.6875</v>
      </c>
      <c r="F35" s="859">
        <v>0</v>
      </c>
      <c r="G35" s="784">
        <v>0.6875</v>
      </c>
      <c r="H35" s="784">
        <v>0</v>
      </c>
      <c r="I35" s="887">
        <v>0.6875</v>
      </c>
      <c r="J35" s="888">
        <v>0</v>
      </c>
      <c r="K35" s="794"/>
      <c r="L35" s="795"/>
      <c r="M35" s="795"/>
      <c r="N35" s="795"/>
      <c r="O35" s="784">
        <v>0.66666666666666663</v>
      </c>
      <c r="P35" s="902">
        <v>0.97916666666666663</v>
      </c>
      <c r="Q35" s="866"/>
      <c r="R35" s="867"/>
      <c r="S35" s="868"/>
      <c r="T35" s="869"/>
      <c r="U35" s="690"/>
      <c r="V35" s="690"/>
      <c r="W35" s="690"/>
      <c r="X35" s="690"/>
      <c r="Y35" s="690"/>
      <c r="Z35" s="720"/>
      <c r="AA35" s="691"/>
      <c r="AB35" s="692"/>
      <c r="AC35" s="692"/>
      <c r="AD35" s="692"/>
      <c r="AE35" s="692"/>
      <c r="AF35" s="870"/>
      <c r="AG35" s="742"/>
      <c r="AH35" s="743"/>
      <c r="AI35" s="744"/>
      <c r="AJ35" s="745"/>
      <c r="AK35" s="746"/>
      <c r="AL35" s="746"/>
      <c r="AM35" s="745"/>
      <c r="AN35" s="747"/>
      <c r="AO35" s="747"/>
      <c r="AP35" s="747"/>
      <c r="AQ35" s="745"/>
      <c r="AR35" s="745"/>
      <c r="AS35" s="748"/>
      <c r="AT35" s="748"/>
      <c r="AU35" s="748"/>
      <c r="AV35" s="748"/>
      <c r="AW35" s="742"/>
      <c r="AX35" s="743"/>
      <c r="AY35" s="749"/>
      <c r="AZ35" s="749"/>
      <c r="BA35" s="625"/>
      <c r="BB35" s="625"/>
      <c r="BC35" s="625"/>
      <c r="BD35" s="625"/>
      <c r="BE35" s="625"/>
      <c r="BF35" s="625"/>
      <c r="BG35" s="750"/>
      <c r="BH35" s="750"/>
      <c r="BI35" s="750"/>
      <c r="BJ35" s="751"/>
      <c r="BK35" s="625"/>
      <c r="BL35" s="625"/>
      <c r="BM35" s="5"/>
      <c r="BS35" s="5"/>
      <c r="BT35" s="5"/>
      <c r="BU35" s="5"/>
      <c r="BV35" s="5"/>
      <c r="BW35" s="5"/>
      <c r="BX35" s="5"/>
      <c r="BY35" s="5"/>
    </row>
    <row r="36" spans="1:77" x14ac:dyDescent="0.25">
      <c r="C36" s="732">
        <v>4</v>
      </c>
      <c r="D36" s="732">
        <v>12</v>
      </c>
      <c r="E36" s="865">
        <v>4</v>
      </c>
      <c r="F36" s="865">
        <v>14</v>
      </c>
      <c r="G36" s="865">
        <v>6</v>
      </c>
      <c r="H36" s="865">
        <v>14</v>
      </c>
      <c r="I36" s="865">
        <v>5</v>
      </c>
      <c r="J36" s="865">
        <v>16</v>
      </c>
      <c r="K36" s="865">
        <v>3</v>
      </c>
      <c r="L36" s="865">
        <v>8</v>
      </c>
      <c r="M36" s="865">
        <v>2</v>
      </c>
      <c r="N36" s="865">
        <v>9</v>
      </c>
      <c r="O36" s="865">
        <v>3</v>
      </c>
      <c r="P36" s="865">
        <v>12</v>
      </c>
      <c r="R36" s="5"/>
      <c r="S36" s="614"/>
      <c r="T36" s="614"/>
      <c r="U36" s="614"/>
      <c r="V36" s="614"/>
      <c r="W36" s="614"/>
      <c r="X36" s="614"/>
      <c r="Y36" s="614"/>
      <c r="Z36" s="614"/>
      <c r="AA36" s="614"/>
      <c r="AB36" s="614"/>
      <c r="AC36" s="614"/>
      <c r="AD36" s="614"/>
      <c r="AE36" s="614"/>
      <c r="AF36" s="614"/>
      <c r="AG36" s="5"/>
      <c r="AH36" s="5"/>
      <c r="AI36" s="640">
        <v>6</v>
      </c>
      <c r="AJ36" s="640">
        <v>10</v>
      </c>
      <c r="AK36" s="640">
        <v>6</v>
      </c>
      <c r="AL36" s="640">
        <v>9</v>
      </c>
      <c r="AM36" s="640">
        <v>6</v>
      </c>
      <c r="AN36" s="640">
        <v>11</v>
      </c>
      <c r="AO36" s="640">
        <v>8</v>
      </c>
      <c r="AP36" s="640">
        <v>10</v>
      </c>
      <c r="AQ36" s="640">
        <v>4</v>
      </c>
      <c r="AR36" s="640">
        <v>6</v>
      </c>
      <c r="AS36" s="640">
        <v>4</v>
      </c>
      <c r="AT36" s="640">
        <v>8</v>
      </c>
      <c r="AU36" s="640">
        <v>5</v>
      </c>
      <c r="AV36" s="640">
        <v>8</v>
      </c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M36" s="5"/>
      <c r="BS36" s="5"/>
      <c r="BT36" s="5"/>
      <c r="BU36" s="2159"/>
      <c r="BV36" s="2159"/>
      <c r="BW36" s="2159"/>
      <c r="BX36" s="2159"/>
      <c r="BY36" s="5"/>
    </row>
    <row r="37" spans="1:77" x14ac:dyDescent="0.25">
      <c r="C37" s="680"/>
      <c r="D37" s="684">
        <v>16</v>
      </c>
      <c r="E37" s="684"/>
      <c r="F37" s="684">
        <v>18</v>
      </c>
      <c r="G37" s="684"/>
      <c r="H37" s="684">
        <v>20</v>
      </c>
      <c r="I37" s="684"/>
      <c r="J37" s="684">
        <v>22</v>
      </c>
      <c r="K37" s="684"/>
      <c r="L37" s="684">
        <v>11</v>
      </c>
      <c r="M37" s="684"/>
      <c r="N37" s="684">
        <v>11</v>
      </c>
      <c r="O37" s="684"/>
      <c r="P37" s="684">
        <v>15</v>
      </c>
      <c r="S37" s="707"/>
      <c r="T37" s="707"/>
      <c r="U37" s="707"/>
      <c r="V37" s="707"/>
      <c r="W37" s="707"/>
      <c r="X37" s="707"/>
      <c r="Y37" s="707"/>
      <c r="Z37" s="707"/>
      <c r="AA37" s="707"/>
      <c r="AB37" s="707"/>
      <c r="AC37" s="708"/>
      <c r="AD37" s="707"/>
      <c r="AE37" s="707"/>
      <c r="AF37" s="707"/>
      <c r="AI37" s="684"/>
      <c r="AJ37" s="684"/>
      <c r="AK37" s="684"/>
      <c r="AL37" s="684"/>
      <c r="AM37" s="684"/>
      <c r="AN37" s="684"/>
      <c r="AO37" s="684"/>
      <c r="AP37" s="684"/>
      <c r="AQ37" s="684"/>
      <c r="AR37" s="684"/>
      <c r="AS37" s="684"/>
      <c r="AT37" s="684"/>
      <c r="AU37" s="684"/>
      <c r="AV37" s="684"/>
      <c r="BM37" s="5"/>
      <c r="BR37" s="45" t="s">
        <v>56</v>
      </c>
      <c r="BS37" s="5"/>
      <c r="BU37" s="5"/>
      <c r="BV37" s="5"/>
      <c r="BW37" s="5"/>
      <c r="BX37" s="5"/>
      <c r="BY37" s="5"/>
    </row>
    <row r="38" spans="1:77" x14ac:dyDescent="0.25">
      <c r="BM38" s="5"/>
      <c r="BR38" s="108" t="s">
        <v>57</v>
      </c>
      <c r="BS38" s="5"/>
      <c r="BU38" s="5"/>
      <c r="BV38" s="5"/>
      <c r="BW38" s="5"/>
      <c r="BX38" s="5"/>
      <c r="BY38" s="5"/>
    </row>
    <row r="39" spans="1:77" x14ac:dyDescent="0.25">
      <c r="X39" s="2160"/>
      <c r="Y39" s="2160"/>
      <c r="Z39" s="2160"/>
      <c r="AA39" s="2160"/>
      <c r="AB39" s="2160"/>
      <c r="AC39" s="2160"/>
      <c r="AD39" s="2160"/>
      <c r="AE39" s="2160"/>
      <c r="BM39" s="5"/>
      <c r="BR39" s="109" t="s">
        <v>58</v>
      </c>
      <c r="BU39" s="5"/>
      <c r="BV39" s="5"/>
      <c r="BW39" s="5"/>
      <c r="BX39" s="5"/>
      <c r="BY39" s="5"/>
    </row>
    <row r="40" spans="1:77" x14ac:dyDescent="0.25">
      <c r="K40" s="2160"/>
      <c r="L40" s="2160"/>
      <c r="M40" s="2160"/>
      <c r="N40" s="2160"/>
      <c r="O40" s="2160"/>
      <c r="P40" s="2160"/>
      <c r="Q40" s="2160"/>
      <c r="BM40" s="5"/>
      <c r="BR40" s="110" t="s">
        <v>59</v>
      </c>
      <c r="BS40" s="110"/>
      <c r="BT40" s="110"/>
    </row>
    <row r="41" spans="1:77" x14ac:dyDescent="0.25">
      <c r="B41" s="561"/>
      <c r="C41" s="725" t="s">
        <v>60</v>
      </c>
      <c r="D41" s="725"/>
      <c r="F41" s="233" t="s">
        <v>61</v>
      </c>
      <c r="G41" s="233">
        <v>4</v>
      </c>
      <c r="I41" s="108" t="s">
        <v>62</v>
      </c>
      <c r="J41" s="108"/>
      <c r="M41" s="860" t="s">
        <v>63</v>
      </c>
    </row>
    <row r="42" spans="1:77" x14ac:dyDescent="0.25">
      <c r="B42" s="561"/>
      <c r="C42" s="737" t="s">
        <v>64</v>
      </c>
      <c r="D42" s="737"/>
      <c r="F42" s="230" t="s">
        <v>65</v>
      </c>
      <c r="G42" s="230">
        <v>2</v>
      </c>
      <c r="I42" s="734" t="s">
        <v>66</v>
      </c>
      <c r="J42" s="734"/>
      <c r="P42" s="709"/>
    </row>
    <row r="43" spans="1:77" x14ac:dyDescent="0.25">
      <c r="C43" s="259" t="s">
        <v>67</v>
      </c>
      <c r="D43" s="259"/>
      <c r="F43" s="736" t="s">
        <v>68</v>
      </c>
      <c r="G43" s="736">
        <v>3</v>
      </c>
      <c r="I43" s="444" t="s">
        <v>69</v>
      </c>
      <c r="J43" s="444"/>
    </row>
    <row r="44" spans="1:77" x14ac:dyDescent="0.25">
      <c r="C44" s="738" t="s">
        <v>70</v>
      </c>
      <c r="D44" s="738"/>
      <c r="F44" s="739" t="s">
        <v>71</v>
      </c>
      <c r="G44" s="739">
        <v>2</v>
      </c>
      <c r="I44" s="233" t="s">
        <v>72</v>
      </c>
      <c r="J44" s="233"/>
      <c r="K44" s="233"/>
    </row>
    <row r="45" spans="1:77" x14ac:dyDescent="0.25">
      <c r="C45" s="734" t="s">
        <v>73</v>
      </c>
      <c r="D45" s="734"/>
      <c r="F45" s="581" t="s">
        <v>74</v>
      </c>
      <c r="G45" s="581">
        <v>1</v>
      </c>
      <c r="I45" s="835" t="s">
        <v>75</v>
      </c>
      <c r="J45" s="835"/>
      <c r="K45" s="835"/>
    </row>
    <row r="46" spans="1:77" x14ac:dyDescent="0.25">
      <c r="F46" s="880" t="s">
        <v>76</v>
      </c>
      <c r="G46" s="880">
        <v>2</v>
      </c>
      <c r="H46" s="709"/>
      <c r="I46" s="581" t="s">
        <v>77</v>
      </c>
      <c r="J46" s="581"/>
      <c r="K46" s="581"/>
    </row>
    <row r="52" spans="18:54" x14ac:dyDescent="0.25"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</row>
    <row r="53" spans="18:54" x14ac:dyDescent="0.25"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</row>
    <row r="54" spans="18:54" x14ac:dyDescent="0.25"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</row>
    <row r="55" spans="18:54" x14ac:dyDescent="0.25"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</row>
    <row r="56" spans="18:54" x14ac:dyDescent="0.25"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 spans="18:54" x14ac:dyDescent="0.25"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</row>
    <row r="58" spans="18:54" x14ac:dyDescent="0.25"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 spans="18:54" x14ac:dyDescent="0.25"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</row>
    <row r="60" spans="18:54" x14ac:dyDescent="0.25"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 spans="18:54" x14ac:dyDescent="0.25"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 spans="18:54" x14ac:dyDescent="0.25"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 spans="18:54" x14ac:dyDescent="0.25"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 spans="18:54" x14ac:dyDescent="0.25"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71" spans="4:9" ht="15.75" thickBot="1" x14ac:dyDescent="0.3"/>
    <row r="72" spans="4:9" x14ac:dyDescent="0.25">
      <c r="D72" s="2172" t="s">
        <v>78</v>
      </c>
      <c r="E72" s="2173"/>
      <c r="F72" s="2173"/>
      <c r="G72" s="2173" t="s">
        <v>79</v>
      </c>
      <c r="H72" s="2173"/>
      <c r="I72" s="2174"/>
    </row>
    <row r="73" spans="4:9" x14ac:dyDescent="0.25">
      <c r="D73" s="873"/>
      <c r="I73" s="874"/>
    </row>
    <row r="74" spans="4:9" x14ac:dyDescent="0.25">
      <c r="D74" s="2170" t="s">
        <v>80</v>
      </c>
      <c r="E74" s="2160"/>
      <c r="F74" s="2160" t="s">
        <v>81</v>
      </c>
      <c r="G74" s="2160"/>
      <c r="H74" s="2160" t="s">
        <v>82</v>
      </c>
      <c r="I74" s="2171"/>
    </row>
    <row r="75" spans="4:9" x14ac:dyDescent="0.25">
      <c r="D75" s="873"/>
      <c r="I75" s="874"/>
    </row>
    <row r="76" spans="4:9" x14ac:dyDescent="0.25">
      <c r="D76" s="2170" t="s">
        <v>83</v>
      </c>
      <c r="E76" s="2160"/>
      <c r="F76" s="2160"/>
      <c r="G76" s="2160" t="s">
        <v>84</v>
      </c>
      <c r="H76" s="2160"/>
      <c r="I76" s="2171"/>
    </row>
    <row r="77" spans="4:9" x14ac:dyDescent="0.25">
      <c r="D77" s="873"/>
      <c r="I77" s="874"/>
    </row>
    <row r="78" spans="4:9" x14ac:dyDescent="0.25">
      <c r="D78" s="2170" t="s">
        <v>85</v>
      </c>
      <c r="E78" s="2160"/>
      <c r="F78" s="2160"/>
      <c r="G78" s="2160" t="s">
        <v>86</v>
      </c>
      <c r="H78" s="2160"/>
      <c r="I78" s="2171"/>
    </row>
    <row r="79" spans="4:9" ht="15.75" thickBot="1" x14ac:dyDescent="0.3">
      <c r="D79" s="875"/>
      <c r="E79" s="876"/>
      <c r="F79" s="876"/>
      <c r="G79" s="876"/>
      <c r="H79" s="876"/>
      <c r="I79" s="877"/>
    </row>
    <row r="88" spans="64:64" x14ac:dyDescent="0.25">
      <c r="BL88" s="12"/>
    </row>
  </sheetData>
  <mergeCells count="107">
    <mergeCell ref="U4:V4"/>
    <mergeCell ref="W4:X4"/>
    <mergeCell ref="D78:F78"/>
    <mergeCell ref="G78:I78"/>
    <mergeCell ref="D72:F72"/>
    <mergeCell ref="G72:I72"/>
    <mergeCell ref="D74:E74"/>
    <mergeCell ref="F74:G74"/>
    <mergeCell ref="H74:I74"/>
    <mergeCell ref="D76:F76"/>
    <mergeCell ref="G76:I76"/>
    <mergeCell ref="BU36:BX36"/>
    <mergeCell ref="X39:AE39"/>
    <mergeCell ref="K40:Q40"/>
    <mergeCell ref="BI4:BJ4"/>
    <mergeCell ref="BK4:BL4"/>
    <mergeCell ref="BO4:BP4"/>
    <mergeCell ref="BQ4:BR4"/>
    <mergeCell ref="BS4:BT4"/>
    <mergeCell ref="BU4:BV4"/>
    <mergeCell ref="AU4:AV4"/>
    <mergeCell ref="AY4:AZ4"/>
    <mergeCell ref="BA4:BB4"/>
    <mergeCell ref="BC4:BD4"/>
    <mergeCell ref="BE4:BF4"/>
    <mergeCell ref="BG4:BH4"/>
    <mergeCell ref="AI4:AJ4"/>
    <mergeCell ref="AK4:AL4"/>
    <mergeCell ref="AM4:AN4"/>
    <mergeCell ref="AO4:AP4"/>
    <mergeCell ref="AQ4:AR4"/>
    <mergeCell ref="AS4:AT4"/>
    <mergeCell ref="Y4:Z4"/>
    <mergeCell ref="AA4:AB4"/>
    <mergeCell ref="AC4:AD4"/>
    <mergeCell ref="AA3:AB3"/>
    <mergeCell ref="AC3:AD3"/>
    <mergeCell ref="CA3:CB3"/>
    <mergeCell ref="C4:D4"/>
    <mergeCell ref="E4:F4"/>
    <mergeCell ref="G4:H4"/>
    <mergeCell ref="I4:J4"/>
    <mergeCell ref="K4:L4"/>
    <mergeCell ref="M4:N4"/>
    <mergeCell ref="O4:P4"/>
    <mergeCell ref="S4:T4"/>
    <mergeCell ref="BK3:BL3"/>
    <mergeCell ref="BO3:BP3"/>
    <mergeCell ref="BQ3:BR3"/>
    <mergeCell ref="BS3:BT3"/>
    <mergeCell ref="BU3:BV3"/>
    <mergeCell ref="BW3:BX3"/>
    <mergeCell ref="AY3:AZ3"/>
    <mergeCell ref="BA3:BB3"/>
    <mergeCell ref="BW4:BX4"/>
    <mergeCell ref="BY4:BZ4"/>
    <mergeCell ref="CA4:CB4"/>
    <mergeCell ref="AK3:AL3"/>
    <mergeCell ref="AM3:AN3"/>
    <mergeCell ref="E3:F3"/>
    <mergeCell ref="G3:H3"/>
    <mergeCell ref="AE4:AF4"/>
    <mergeCell ref="BY3:BZ3"/>
    <mergeCell ref="M3:N3"/>
    <mergeCell ref="O3:P3"/>
    <mergeCell ref="AP2:AV2"/>
    <mergeCell ref="AX2:AX3"/>
    <mergeCell ref="AY2:BA2"/>
    <mergeCell ref="BC2:BE2"/>
    <mergeCell ref="BF2:BL2"/>
    <mergeCell ref="BN2:BN3"/>
    <mergeCell ref="AO3:AP3"/>
    <mergeCell ref="AQ3:AR3"/>
    <mergeCell ref="AS3:AT3"/>
    <mergeCell ref="AU3:AV3"/>
    <mergeCell ref="S2:U2"/>
    <mergeCell ref="W2:Y2"/>
    <mergeCell ref="Z2:AF2"/>
    <mergeCell ref="AH2:AH3"/>
    <mergeCell ref="BC3:BD3"/>
    <mergeCell ref="BE3:BF3"/>
    <mergeCell ref="BG3:BH3"/>
    <mergeCell ref="BI3:BJ3"/>
    <mergeCell ref="I3:J3"/>
    <mergeCell ref="K3:L3"/>
    <mergeCell ref="AE3:AF3"/>
    <mergeCell ref="AI3:AJ3"/>
    <mergeCell ref="AW1:BL1"/>
    <mergeCell ref="BM1:CB1"/>
    <mergeCell ref="B2:B3"/>
    <mergeCell ref="C2:E2"/>
    <mergeCell ref="G2:I2"/>
    <mergeCell ref="J2:P2"/>
    <mergeCell ref="R2:R3"/>
    <mergeCell ref="AI2:AK2"/>
    <mergeCell ref="AM2:AO2"/>
    <mergeCell ref="S3:T3"/>
    <mergeCell ref="U3:V3"/>
    <mergeCell ref="W3:X3"/>
    <mergeCell ref="Y3:Z3"/>
    <mergeCell ref="A1:P1"/>
    <mergeCell ref="Q1:AF1"/>
    <mergeCell ref="AG1:AV1"/>
    <mergeCell ref="BO2:BQ2"/>
    <mergeCell ref="BS2:BU2"/>
    <mergeCell ref="BV2:CB2"/>
    <mergeCell ref="C3:D3"/>
  </mergeCells>
  <pageMargins left="0.25" right="0.25" top="0.75" bottom="0.75" header="0.3" footer="0.3"/>
  <pageSetup paperSize="9" scale="93" orientation="landscape" r:id="rId1"/>
  <headerFooter>
    <oddHeader>&amp;R&amp;"Calibri"&amp;10&amp;K000000 Público&amp;1#_x000D_</oddHeader>
    <oddFooter>&amp;L_x000D_&amp;1#&amp;"Calibri"&amp;10&amp;K000000 Público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1C839-8A48-4455-9423-151C954E68DE}">
  <sheetPr>
    <pageSetUpPr fitToPage="1"/>
  </sheetPr>
  <dimension ref="A1:CB47"/>
  <sheetViews>
    <sheetView topLeftCell="BA1" zoomScale="40" zoomScaleNormal="40" zoomScaleSheetLayoutView="40" workbookViewId="0">
      <selection activeCell="S35" sqref="S35"/>
    </sheetView>
  </sheetViews>
  <sheetFormatPr baseColWidth="10" defaultColWidth="40.5703125" defaultRowHeight="28.5" x14ac:dyDescent="0.45"/>
  <cols>
    <col min="1" max="1" width="41.28515625" style="988" customWidth="1"/>
    <col min="2" max="2" width="11.7109375" style="988" bestFit="1" customWidth="1"/>
    <col min="3" max="5" width="13.42578125" style="988" customWidth="1"/>
    <col min="6" max="6" width="13.5703125" style="988" customWidth="1"/>
    <col min="7" max="10" width="13.42578125" style="988" customWidth="1"/>
    <col min="11" max="11" width="13.5703125" style="988" customWidth="1"/>
    <col min="12" max="14" width="13.42578125" style="988" customWidth="1"/>
    <col min="15" max="16" width="13.5703125" style="988" customWidth="1"/>
    <col min="17" max="17" width="41.28515625" style="988" customWidth="1"/>
    <col min="18" max="18" width="11.7109375" style="988" bestFit="1" customWidth="1"/>
    <col min="19" max="21" width="13.42578125" style="988" customWidth="1"/>
    <col min="22" max="22" width="13.5703125" style="988" customWidth="1"/>
    <col min="23" max="26" width="13.42578125" style="988" customWidth="1"/>
    <col min="27" max="27" width="13.5703125" style="988" customWidth="1"/>
    <col min="28" max="30" width="13.42578125" style="988" customWidth="1"/>
    <col min="31" max="32" width="13.5703125" style="988" customWidth="1"/>
    <col min="33" max="33" width="41.28515625" style="988" customWidth="1"/>
    <col min="34" max="34" width="11.7109375" style="988" bestFit="1" customWidth="1"/>
    <col min="35" max="37" width="13.42578125" style="988" customWidth="1"/>
    <col min="38" max="38" width="13.5703125" style="988" customWidth="1"/>
    <col min="39" max="42" width="13.42578125" style="988" customWidth="1"/>
    <col min="43" max="43" width="13.5703125" style="988" customWidth="1"/>
    <col min="44" max="46" width="13.42578125" style="988" customWidth="1"/>
    <col min="47" max="48" width="13.5703125" style="988" customWidth="1"/>
    <col min="49" max="49" width="41.28515625" style="988" customWidth="1"/>
    <col min="50" max="50" width="11.7109375" style="988" bestFit="1" customWidth="1"/>
    <col min="51" max="53" width="13.42578125" style="988" customWidth="1"/>
    <col min="54" max="54" width="13.5703125" style="988" customWidth="1"/>
    <col min="55" max="58" width="13.42578125" style="988" customWidth="1"/>
    <col min="59" max="59" width="13.5703125" style="988" customWidth="1"/>
    <col min="60" max="62" width="13.42578125" style="988" customWidth="1"/>
    <col min="63" max="64" width="13.5703125" style="988" customWidth="1"/>
    <col min="65" max="65" width="41.28515625" style="988" customWidth="1"/>
    <col min="66" max="66" width="11.7109375" style="988" bestFit="1" customWidth="1"/>
    <col min="67" max="69" width="13.42578125" style="988" customWidth="1"/>
    <col min="70" max="70" width="13.5703125" style="988" customWidth="1"/>
    <col min="71" max="74" width="13.42578125" style="988" customWidth="1"/>
    <col min="75" max="75" width="13.5703125" style="988" customWidth="1"/>
    <col min="76" max="78" width="13.42578125" style="988" customWidth="1"/>
    <col min="79" max="80" width="13.5703125" style="988" customWidth="1"/>
    <col min="81" max="16384" width="40.5703125" style="988"/>
  </cols>
  <sheetData>
    <row r="1" spans="1:80" ht="29.25" thickBot="1" x14ac:dyDescent="0.5">
      <c r="A1" s="2111" t="s">
        <v>0</v>
      </c>
      <c r="B1" s="2111"/>
      <c r="C1" s="2111"/>
      <c r="D1" s="2111"/>
      <c r="E1" s="2111"/>
      <c r="F1" s="2111"/>
      <c r="G1" s="2111"/>
      <c r="H1" s="2111"/>
      <c r="I1" s="2111"/>
      <c r="J1" s="2111"/>
      <c r="K1" s="2111"/>
      <c r="L1" s="2111"/>
      <c r="M1" s="2111"/>
      <c r="N1" s="2111"/>
      <c r="O1" s="2111"/>
      <c r="P1" s="2112"/>
      <c r="Q1" s="1093" t="s">
        <v>5</v>
      </c>
      <c r="R1" s="2098"/>
      <c r="S1" s="2099"/>
      <c r="T1" s="2100"/>
      <c r="U1" s="2100"/>
      <c r="V1" s="989" t="s">
        <v>3</v>
      </c>
      <c r="W1" s="2104"/>
      <c r="X1" s="2100"/>
      <c r="Y1" s="2105"/>
      <c r="Z1" s="2089"/>
      <c r="AA1" s="2090"/>
      <c r="AB1" s="2090"/>
      <c r="AC1" s="2090"/>
      <c r="AD1" s="2090"/>
      <c r="AE1" s="2090"/>
      <c r="AF1" s="2091"/>
      <c r="AG1" s="1093" t="s">
        <v>87</v>
      </c>
      <c r="AH1" s="2085"/>
      <c r="AI1" s="2092"/>
      <c r="AJ1" s="2093"/>
      <c r="AK1" s="2094"/>
      <c r="AL1" s="1664" t="s">
        <v>3</v>
      </c>
      <c r="AM1" s="2092"/>
      <c r="AN1" s="2093"/>
      <c r="AO1" s="2094"/>
      <c r="AP1" s="2095"/>
      <c r="AQ1" s="2096"/>
      <c r="AR1" s="2096"/>
      <c r="AS1" s="2096"/>
      <c r="AT1" s="2096"/>
      <c r="AU1" s="2096"/>
      <c r="AV1" s="2097"/>
      <c r="AW1" s="1665" t="s">
        <v>88</v>
      </c>
      <c r="AX1" s="2098"/>
      <c r="AY1" s="2099"/>
      <c r="AZ1" s="2100"/>
      <c r="BA1" s="2100"/>
      <c r="BB1" s="989" t="s">
        <v>3</v>
      </c>
      <c r="BC1" s="2104"/>
      <c r="BD1" s="2100"/>
      <c r="BE1" s="2105"/>
      <c r="BF1" s="2089"/>
      <c r="BG1" s="2090"/>
      <c r="BH1" s="2090"/>
      <c r="BI1" s="2090"/>
      <c r="BJ1" s="2090"/>
      <c r="BK1" s="2090"/>
      <c r="BL1" s="2091"/>
      <c r="BM1" s="1093" t="s">
        <v>7</v>
      </c>
      <c r="BN1" s="2098"/>
      <c r="BO1" s="2099"/>
      <c r="BP1" s="2100"/>
      <c r="BQ1" s="2100"/>
      <c r="BR1" s="989" t="s">
        <v>3</v>
      </c>
      <c r="BS1" s="2104"/>
      <c r="BT1" s="2100"/>
      <c r="BU1" s="2105"/>
      <c r="BV1" s="2089"/>
      <c r="BW1" s="2090"/>
      <c r="BX1" s="2090"/>
      <c r="BY1" s="2090"/>
      <c r="BZ1" s="2090"/>
      <c r="CA1" s="2090"/>
      <c r="CB1" s="2091"/>
    </row>
    <row r="2" spans="1:80" ht="29.25" thickBot="1" x14ac:dyDescent="0.5">
      <c r="A2" s="1093" t="s">
        <v>2</v>
      </c>
      <c r="B2" s="2098"/>
      <c r="C2" s="2099"/>
      <c r="D2" s="2100"/>
      <c r="E2" s="2100"/>
      <c r="F2" s="989" t="s">
        <v>3</v>
      </c>
      <c r="G2" s="2104"/>
      <c r="H2" s="2100"/>
      <c r="I2" s="2105"/>
      <c r="J2" s="2089"/>
      <c r="K2" s="2090"/>
      <c r="L2" s="2090"/>
      <c r="M2" s="2090"/>
      <c r="N2" s="2090"/>
      <c r="O2" s="2090"/>
      <c r="P2" s="2091"/>
      <c r="Q2" s="1118"/>
      <c r="R2" s="2086"/>
      <c r="S2" s="2110" t="s">
        <v>9</v>
      </c>
      <c r="T2" s="2087"/>
      <c r="U2" s="2103" t="s">
        <v>10</v>
      </c>
      <c r="V2" s="2103"/>
      <c r="W2" s="2087" t="s">
        <v>11</v>
      </c>
      <c r="X2" s="2087"/>
      <c r="Y2" s="2087" t="s">
        <v>12</v>
      </c>
      <c r="Z2" s="2087"/>
      <c r="AA2" s="2087" t="s">
        <v>13</v>
      </c>
      <c r="AB2" s="2087"/>
      <c r="AC2" s="2103" t="s">
        <v>14</v>
      </c>
      <c r="AD2" s="2103"/>
      <c r="AE2" s="2108" t="s">
        <v>15</v>
      </c>
      <c r="AF2" s="2109"/>
      <c r="AG2" s="1118"/>
      <c r="AH2" s="2086"/>
      <c r="AI2" s="2101" t="s">
        <v>9</v>
      </c>
      <c r="AJ2" s="2102"/>
      <c r="AK2" s="2102" t="s">
        <v>10</v>
      </c>
      <c r="AL2" s="2102"/>
      <c r="AM2" s="2103" t="s">
        <v>11</v>
      </c>
      <c r="AN2" s="2103"/>
      <c r="AO2" s="2102" t="s">
        <v>12</v>
      </c>
      <c r="AP2" s="2102"/>
      <c r="AQ2" s="2087" t="s">
        <v>13</v>
      </c>
      <c r="AR2" s="2087"/>
      <c r="AS2" s="2087" t="s">
        <v>14</v>
      </c>
      <c r="AT2" s="2087"/>
      <c r="AU2" s="2108" t="s">
        <v>15</v>
      </c>
      <c r="AV2" s="2109"/>
      <c r="AW2" s="1118"/>
      <c r="AX2" s="2086"/>
      <c r="AY2" s="2110" t="s">
        <v>9</v>
      </c>
      <c r="AZ2" s="2087"/>
      <c r="BA2" s="2087" t="s">
        <v>10</v>
      </c>
      <c r="BB2" s="2087"/>
      <c r="BC2" s="2087" t="s">
        <v>11</v>
      </c>
      <c r="BD2" s="2087"/>
      <c r="BE2" s="2087" t="s">
        <v>12</v>
      </c>
      <c r="BF2" s="2087"/>
      <c r="BG2" s="2088" t="s">
        <v>13</v>
      </c>
      <c r="BH2" s="2088"/>
      <c r="BI2" s="2088" t="s">
        <v>14</v>
      </c>
      <c r="BJ2" s="2088"/>
      <c r="BK2" s="2088" t="s">
        <v>15</v>
      </c>
      <c r="BL2" s="2106"/>
      <c r="BM2" s="1118"/>
      <c r="BN2" s="2086"/>
      <c r="BO2" s="2069" t="s">
        <v>9</v>
      </c>
      <c r="BP2" s="2070"/>
      <c r="BQ2" s="2070" t="s">
        <v>10</v>
      </c>
      <c r="BR2" s="2070"/>
      <c r="BS2" s="2070" t="s">
        <v>11</v>
      </c>
      <c r="BT2" s="2070"/>
      <c r="BU2" s="2070" t="s">
        <v>12</v>
      </c>
      <c r="BV2" s="2070"/>
      <c r="BW2" s="2070" t="s">
        <v>13</v>
      </c>
      <c r="BX2" s="2070"/>
      <c r="BY2" s="2070" t="s">
        <v>14</v>
      </c>
      <c r="BZ2" s="2070"/>
      <c r="CA2" s="2070" t="s">
        <v>15</v>
      </c>
      <c r="CB2" s="2107"/>
    </row>
    <row r="3" spans="1:80" ht="29.25" thickBot="1" x14ac:dyDescent="0.5">
      <c r="A3" s="1118"/>
      <c r="B3" s="2086"/>
      <c r="C3" s="2081" t="s">
        <v>9</v>
      </c>
      <c r="D3" s="2065"/>
      <c r="E3" s="2064" t="s">
        <v>10</v>
      </c>
      <c r="F3" s="2065"/>
      <c r="G3" s="2082" t="s">
        <v>11</v>
      </c>
      <c r="H3" s="2083"/>
      <c r="I3" s="2064" t="s">
        <v>12</v>
      </c>
      <c r="J3" s="2065"/>
      <c r="K3" s="2066" t="s">
        <v>13</v>
      </c>
      <c r="L3" s="2084"/>
      <c r="M3" s="2064" t="s">
        <v>14</v>
      </c>
      <c r="N3" s="2065"/>
      <c r="O3" s="2066" t="s">
        <v>15</v>
      </c>
      <c r="P3" s="2067"/>
      <c r="Q3" s="1222" t="s">
        <v>16</v>
      </c>
      <c r="R3" s="1223" t="s">
        <v>17</v>
      </c>
      <c r="S3" s="2059">
        <v>46205</v>
      </c>
      <c r="T3" s="2059"/>
      <c r="U3" s="2068">
        <f>S3+1</f>
        <v>46206</v>
      </c>
      <c r="V3" s="2068"/>
      <c r="W3" s="2059">
        <f>U3+1</f>
        <v>46207</v>
      </c>
      <c r="X3" s="2059"/>
      <c r="Y3" s="2059">
        <f>W3+1</f>
        <v>46208</v>
      </c>
      <c r="Z3" s="2059"/>
      <c r="AA3" s="2059">
        <f>Y3+1</f>
        <v>46209</v>
      </c>
      <c r="AB3" s="2060"/>
      <c r="AC3" s="2068">
        <f>AA3+1</f>
        <v>46210</v>
      </c>
      <c r="AD3" s="2073"/>
      <c r="AE3" s="2074">
        <f>AC3+1</f>
        <v>46211</v>
      </c>
      <c r="AF3" s="2075"/>
      <c r="AG3" s="1222" t="s">
        <v>16</v>
      </c>
      <c r="AH3" s="1223" t="s">
        <v>17</v>
      </c>
      <c r="AI3" s="2076">
        <v>46212</v>
      </c>
      <c r="AJ3" s="2076"/>
      <c r="AK3" s="2077">
        <f>AI3+1</f>
        <v>46213</v>
      </c>
      <c r="AL3" s="2078"/>
      <c r="AM3" s="2079">
        <f>AK3+1</f>
        <v>46214</v>
      </c>
      <c r="AN3" s="2080"/>
      <c r="AO3" s="2077">
        <f>AM3+1</f>
        <v>46215</v>
      </c>
      <c r="AP3" s="2077"/>
      <c r="AQ3" s="2059">
        <f>AO3+1</f>
        <v>46216</v>
      </c>
      <c r="AR3" s="2060"/>
      <c r="AS3" s="2059">
        <f>AQ3+1</f>
        <v>46217</v>
      </c>
      <c r="AT3" s="2060"/>
      <c r="AU3" s="2071">
        <f>AS3+1</f>
        <v>46218</v>
      </c>
      <c r="AV3" s="2072"/>
      <c r="AW3" s="1222" t="s">
        <v>16</v>
      </c>
      <c r="AX3" s="1663" t="s">
        <v>17</v>
      </c>
      <c r="AY3" s="2061">
        <v>46219</v>
      </c>
      <c r="AZ3" s="2062"/>
      <c r="BA3" s="2061">
        <f>AY3+1</f>
        <v>46220</v>
      </c>
      <c r="BB3" s="2062"/>
      <c r="BC3" s="2063">
        <f>BA3+1</f>
        <v>46221</v>
      </c>
      <c r="BD3" s="2061"/>
      <c r="BE3" s="2061">
        <f>BC3+1</f>
        <v>46222</v>
      </c>
      <c r="BF3" s="2061"/>
      <c r="BG3" s="2045">
        <f>BE3+1</f>
        <v>46223</v>
      </c>
      <c r="BH3" s="2046"/>
      <c r="BI3" s="2045">
        <f>BG3+1</f>
        <v>46224</v>
      </c>
      <c r="BJ3" s="2046"/>
      <c r="BK3" s="2056">
        <f>BI3+1</f>
        <v>46225</v>
      </c>
      <c r="BL3" s="2057"/>
      <c r="BM3" s="1222" t="s">
        <v>16</v>
      </c>
      <c r="BN3" s="1663" t="s">
        <v>17</v>
      </c>
      <c r="BO3" s="2047">
        <v>46226</v>
      </c>
      <c r="BP3" s="2047"/>
      <c r="BQ3" s="2175">
        <f>BO3+1</f>
        <v>46227</v>
      </c>
      <c r="BR3" s="2176"/>
      <c r="BS3" s="2177">
        <f>BQ3+1</f>
        <v>46228</v>
      </c>
      <c r="BT3" s="2175"/>
      <c r="BU3" s="2175">
        <f>BS3+1</f>
        <v>46229</v>
      </c>
      <c r="BV3" s="2175"/>
      <c r="BW3" s="2047">
        <f>BU3+1</f>
        <v>46230</v>
      </c>
      <c r="BX3" s="2048"/>
      <c r="BY3" s="2047">
        <f>BW3+1</f>
        <v>46231</v>
      </c>
      <c r="BZ3" s="2048"/>
      <c r="CA3" s="2175">
        <f>BY3+1</f>
        <v>46232</v>
      </c>
      <c r="CB3" s="2176"/>
    </row>
    <row r="4" spans="1:80" ht="30" thickTop="1" thickBot="1" x14ac:dyDescent="0.5">
      <c r="A4" s="1222" t="s">
        <v>16</v>
      </c>
      <c r="B4" s="1223" t="s">
        <v>17</v>
      </c>
      <c r="C4" s="2049">
        <v>46198</v>
      </c>
      <c r="D4" s="2050"/>
      <c r="E4" s="2049">
        <f>C4+1</f>
        <v>46199</v>
      </c>
      <c r="F4" s="2050"/>
      <c r="G4" s="2051">
        <f>E4+1</f>
        <v>46200</v>
      </c>
      <c r="H4" s="2052"/>
      <c r="I4" s="2049">
        <f>G4+1</f>
        <v>46201</v>
      </c>
      <c r="J4" s="2050"/>
      <c r="K4" s="2053">
        <f>I4+1</f>
        <v>46202</v>
      </c>
      <c r="L4" s="2054"/>
      <c r="M4" s="2049">
        <f>K4+1</f>
        <v>46203</v>
      </c>
      <c r="N4" s="2050"/>
      <c r="O4" s="2053">
        <f>M4+1</f>
        <v>46204</v>
      </c>
      <c r="P4" s="2055"/>
      <c r="Q4" s="1224" t="s">
        <v>89</v>
      </c>
      <c r="R4" s="1485" t="s">
        <v>19</v>
      </c>
      <c r="S4" s="1490">
        <v>0.375</v>
      </c>
      <c r="T4" s="1465">
        <v>0.70833333333333337</v>
      </c>
      <c r="U4" s="1465">
        <v>0.375</v>
      </c>
      <c r="V4" s="1465">
        <v>0.70833333333333337</v>
      </c>
      <c r="W4" s="1466" t="s">
        <v>90</v>
      </c>
      <c r="X4" s="1466" t="s">
        <v>90</v>
      </c>
      <c r="Y4" s="1465">
        <v>0.375</v>
      </c>
      <c r="Z4" s="1494">
        <v>0.70833333333333337</v>
      </c>
      <c r="AA4" s="1493" t="s">
        <v>91</v>
      </c>
      <c r="AB4" s="1466" t="s">
        <v>91</v>
      </c>
      <c r="AC4" s="1465">
        <v>0.375</v>
      </c>
      <c r="AD4" s="1465">
        <v>0.70833333333333337</v>
      </c>
      <c r="AE4" s="1465">
        <v>0.375</v>
      </c>
      <c r="AF4" s="1467">
        <v>0.70833333333333337</v>
      </c>
      <c r="AG4" s="1224" t="s">
        <v>89</v>
      </c>
      <c r="AH4" s="1144" t="s">
        <v>19</v>
      </c>
      <c r="AI4" s="1552">
        <v>0.375</v>
      </c>
      <c r="AJ4" s="1545">
        <v>0.70833333333333337</v>
      </c>
      <c r="AK4" s="1546">
        <v>0.375</v>
      </c>
      <c r="AL4" s="1538">
        <v>0.70833333333333337</v>
      </c>
      <c r="AM4" s="1543">
        <v>0.375</v>
      </c>
      <c r="AN4" s="1467">
        <v>0.70833333333333337</v>
      </c>
      <c r="AO4" s="1518" t="s">
        <v>92</v>
      </c>
      <c r="AP4" s="1544" t="s">
        <v>92</v>
      </c>
      <c r="AQ4" s="1545">
        <v>0.375</v>
      </c>
      <c r="AR4" s="1553">
        <v>0.70833333333333337</v>
      </c>
      <c r="AS4" s="1545">
        <v>0.375</v>
      </c>
      <c r="AT4" s="1545">
        <v>0.70833333333333337</v>
      </c>
      <c r="AU4" s="1543">
        <v>0.375</v>
      </c>
      <c r="AV4" s="1467">
        <v>0.70833333333333337</v>
      </c>
      <c r="AW4" s="1224" t="s">
        <v>89</v>
      </c>
      <c r="AX4" s="1668" t="s">
        <v>19</v>
      </c>
      <c r="AY4" s="1552">
        <v>0.375</v>
      </c>
      <c r="AZ4" s="1545">
        <v>0.70833333333333337</v>
      </c>
      <c r="BA4" s="1669" t="s">
        <v>93</v>
      </c>
      <c r="BB4" s="1408" t="s">
        <v>93</v>
      </c>
      <c r="BC4" s="1104" t="s">
        <v>94</v>
      </c>
      <c r="BD4" s="1104" t="s">
        <v>94</v>
      </c>
      <c r="BE4" s="1545">
        <v>0.375</v>
      </c>
      <c r="BF4" s="1545">
        <v>0.70833333333333337</v>
      </c>
      <c r="BG4" s="1545">
        <v>0.375</v>
      </c>
      <c r="BH4" s="1545">
        <v>0.70833333333333337</v>
      </c>
      <c r="BI4" s="1692">
        <v>0.375</v>
      </c>
      <c r="BJ4" s="1692">
        <v>0.70833333333333337</v>
      </c>
      <c r="BK4" s="1545">
        <v>0.375</v>
      </c>
      <c r="BL4" s="1545">
        <v>0.70833333333333337</v>
      </c>
      <c r="BM4" s="1224" t="s">
        <v>89</v>
      </c>
      <c r="BN4" s="1662" t="s">
        <v>19</v>
      </c>
      <c r="BO4" s="1650"/>
      <c r="BP4" s="1651"/>
      <c r="BQ4" s="1542"/>
      <c r="BR4" s="1407"/>
      <c r="BS4" s="1652"/>
      <c r="BT4" s="1499"/>
      <c r="BU4" s="1653"/>
      <c r="BV4" s="1654"/>
      <c r="BW4" s="1651"/>
      <c r="BX4" s="1655"/>
      <c r="BY4" s="1651"/>
      <c r="BZ4" s="1651"/>
      <c r="CA4" s="1005"/>
      <c r="CB4" s="1005"/>
    </row>
    <row r="5" spans="1:80" x14ac:dyDescent="0.45">
      <c r="A5" s="1421" t="s">
        <v>89</v>
      </c>
      <c r="B5" s="1419" t="s">
        <v>19</v>
      </c>
      <c r="C5" s="1411">
        <v>0.375</v>
      </c>
      <c r="D5" s="1326">
        <v>0.70833333333333337</v>
      </c>
      <c r="E5" s="1326">
        <v>0.375</v>
      </c>
      <c r="F5" s="1326">
        <v>0.70833333333333337</v>
      </c>
      <c r="G5" s="1326">
        <v>0.375</v>
      </c>
      <c r="H5" s="1326">
        <v>0.70833333333333337</v>
      </c>
      <c r="I5" s="1318" t="s">
        <v>95</v>
      </c>
      <c r="J5" s="1318" t="s">
        <v>95</v>
      </c>
      <c r="K5" s="1326">
        <v>0.375</v>
      </c>
      <c r="L5" s="1326">
        <v>0.70833333333333337</v>
      </c>
      <c r="M5" s="1326">
        <v>0.375</v>
      </c>
      <c r="N5" s="1326">
        <v>0.70833333333333337</v>
      </c>
      <c r="O5" s="1326">
        <v>0.375</v>
      </c>
      <c r="P5" s="1401">
        <v>0.70833333333333337</v>
      </c>
      <c r="Q5" s="1225" t="s">
        <v>96</v>
      </c>
      <c r="R5" s="1144" t="s">
        <v>19</v>
      </c>
      <c r="S5" s="1143">
        <v>0.75</v>
      </c>
      <c r="T5" s="1090">
        <v>4.1666666666666664E-2</v>
      </c>
      <c r="U5" s="1005">
        <v>0.75</v>
      </c>
      <c r="V5" s="1005">
        <v>4.1666666666666664E-2</v>
      </c>
      <c r="W5" s="1104" t="s">
        <v>90</v>
      </c>
      <c r="X5" s="1104" t="s">
        <v>90</v>
      </c>
      <c r="Y5" s="1104" t="s">
        <v>91</v>
      </c>
      <c r="Z5" s="1271" t="s">
        <v>91</v>
      </c>
      <c r="AA5" s="1239">
        <v>0.75</v>
      </c>
      <c r="AB5" s="1005">
        <v>4.1666666666666664E-2</v>
      </c>
      <c r="AC5" s="1005">
        <v>0.75</v>
      </c>
      <c r="AD5" s="1005">
        <v>4.1666666666666664E-2</v>
      </c>
      <c r="AE5" s="1005">
        <v>0.75</v>
      </c>
      <c r="AF5" s="1468">
        <v>4.1666666666666664E-2</v>
      </c>
      <c r="AG5" s="1225" t="s">
        <v>96</v>
      </c>
      <c r="AH5" s="1144" t="s">
        <v>19</v>
      </c>
      <c r="AI5" s="1143">
        <v>0.75</v>
      </c>
      <c r="AJ5" s="1090">
        <v>4.1666666666666664E-2</v>
      </c>
      <c r="AK5" s="1005">
        <v>0.75</v>
      </c>
      <c r="AL5" s="1005">
        <v>4.1666666666666664E-2</v>
      </c>
      <c r="AM5" s="1104" t="s">
        <v>92</v>
      </c>
      <c r="AN5" s="1271" t="s">
        <v>92</v>
      </c>
      <c r="AO5" s="1135">
        <v>0.75</v>
      </c>
      <c r="AP5" s="1005">
        <v>4.1666666666666664E-2</v>
      </c>
      <c r="AQ5" s="1244">
        <v>0.75</v>
      </c>
      <c r="AR5" s="1005">
        <v>4.1666666666666664E-2</v>
      </c>
      <c r="AS5" s="1005">
        <v>0.75</v>
      </c>
      <c r="AT5" s="1005">
        <v>4.1666666666666664E-2</v>
      </c>
      <c r="AU5" s="1005">
        <v>0.75</v>
      </c>
      <c r="AV5" s="1468">
        <v>4.1666666666666664E-2</v>
      </c>
      <c r="AW5" s="1225" t="s">
        <v>96</v>
      </c>
      <c r="AX5" s="1144" t="s">
        <v>19</v>
      </c>
      <c r="AY5" s="1143">
        <v>0.75</v>
      </c>
      <c r="AZ5" s="1090">
        <v>4.1666666666666664E-2</v>
      </c>
      <c r="BA5" s="1104" t="s">
        <v>93</v>
      </c>
      <c r="BB5" s="1104" t="s">
        <v>93</v>
      </c>
      <c r="BC5" s="1005">
        <v>0.6875</v>
      </c>
      <c r="BD5" s="1005">
        <v>0</v>
      </c>
      <c r="BE5" s="1090">
        <v>0.75</v>
      </c>
      <c r="BF5" s="1090">
        <v>4.1666666666666664E-2</v>
      </c>
      <c r="BG5" s="1244">
        <v>0.75</v>
      </c>
      <c r="BH5" s="1481">
        <v>4.1666666666666664E-2</v>
      </c>
      <c r="BI5" s="1090">
        <v>0.75</v>
      </c>
      <c r="BJ5" s="1090">
        <v>4.1666666666666664E-2</v>
      </c>
      <c r="BK5" s="1244">
        <v>0.75</v>
      </c>
      <c r="BL5" s="1090">
        <v>4.1666666666666664E-2</v>
      </c>
      <c r="BM5" s="1225" t="s">
        <v>96</v>
      </c>
      <c r="BN5" s="1144" t="s">
        <v>19</v>
      </c>
      <c r="BO5" s="1143"/>
      <c r="BP5" s="1090"/>
      <c r="BQ5" s="1005"/>
      <c r="BR5" s="1005"/>
      <c r="BS5" s="1005"/>
      <c r="BT5" s="1135"/>
      <c r="BU5" s="1135"/>
      <c r="BV5" s="1005"/>
      <c r="BW5" s="1244"/>
      <c r="BX5" s="1005"/>
      <c r="BY5" s="1005"/>
      <c r="BZ5" s="1005"/>
      <c r="CA5" s="1005"/>
      <c r="CB5" s="1005"/>
    </row>
    <row r="6" spans="1:80" x14ac:dyDescent="0.45">
      <c r="A6" s="1422" t="s">
        <v>96</v>
      </c>
      <c r="B6" s="1420" t="s">
        <v>19</v>
      </c>
      <c r="C6" s="1412">
        <v>0.75</v>
      </c>
      <c r="D6" s="1090">
        <v>4.1666666666666664E-2</v>
      </c>
      <c r="E6" s="1090">
        <v>0.6875</v>
      </c>
      <c r="F6" s="1090">
        <v>0</v>
      </c>
      <c r="G6" s="1005">
        <v>0.75</v>
      </c>
      <c r="H6" s="1005">
        <v>4.1666666666666664E-2</v>
      </c>
      <c r="I6" s="1104" t="s">
        <v>95</v>
      </c>
      <c r="J6" s="1104" t="s">
        <v>95</v>
      </c>
      <c r="K6" s="1005">
        <v>0.75</v>
      </c>
      <c r="L6" s="1005">
        <v>4.1666666666666664E-2</v>
      </c>
      <c r="M6" s="1005">
        <v>0.75</v>
      </c>
      <c r="N6" s="1005">
        <v>4.1666666666666664E-2</v>
      </c>
      <c r="O6" s="1005">
        <v>0.75</v>
      </c>
      <c r="P6" s="1327">
        <v>4.1666666666666664E-2</v>
      </c>
      <c r="Q6" s="1226" t="s">
        <v>21</v>
      </c>
      <c r="R6" s="1144" t="s">
        <v>19</v>
      </c>
      <c r="S6" s="1458">
        <v>0.6875</v>
      </c>
      <c r="T6" s="1459">
        <v>0</v>
      </c>
      <c r="U6" s="1005">
        <v>0.6875</v>
      </c>
      <c r="V6" s="1005">
        <v>0</v>
      </c>
      <c r="W6" s="1104" t="s">
        <v>90</v>
      </c>
      <c r="X6" s="1104" t="s">
        <v>90</v>
      </c>
      <c r="Y6" s="1104" t="s">
        <v>91</v>
      </c>
      <c r="Z6" s="1271" t="s">
        <v>91</v>
      </c>
      <c r="AA6" s="1143">
        <v>0.6875</v>
      </c>
      <c r="AB6" s="1005">
        <v>0</v>
      </c>
      <c r="AC6" s="1090">
        <v>0.6875</v>
      </c>
      <c r="AD6" s="1005">
        <v>0</v>
      </c>
      <c r="AE6" s="1459">
        <v>0.6875</v>
      </c>
      <c r="AF6" s="1469">
        <v>0</v>
      </c>
      <c r="AG6" s="1226" t="s">
        <v>21</v>
      </c>
      <c r="AH6" s="1144" t="s">
        <v>19</v>
      </c>
      <c r="AI6" s="1458">
        <v>0.6875</v>
      </c>
      <c r="AJ6" s="1459">
        <v>0</v>
      </c>
      <c r="AK6" s="1308">
        <v>0.6875</v>
      </c>
      <c r="AL6" s="1308">
        <v>0</v>
      </c>
      <c r="AM6" s="1104" t="s">
        <v>92</v>
      </c>
      <c r="AN6" s="1271" t="s">
        <v>92</v>
      </c>
      <c r="AO6" s="1534">
        <v>0.6875</v>
      </c>
      <c r="AP6" s="1308">
        <v>0</v>
      </c>
      <c r="AQ6" s="1166">
        <v>0.6875</v>
      </c>
      <c r="AR6" s="1136">
        <v>0</v>
      </c>
      <c r="AS6" s="1123">
        <v>0.6875</v>
      </c>
      <c r="AT6" s="1123">
        <v>0</v>
      </c>
      <c r="AU6" s="1005">
        <v>0.6875</v>
      </c>
      <c r="AV6" s="1468">
        <v>0</v>
      </c>
      <c r="AW6" s="1226" t="s">
        <v>21</v>
      </c>
      <c r="AX6" s="1144" t="s">
        <v>19</v>
      </c>
      <c r="AY6" s="1143">
        <v>0.6875</v>
      </c>
      <c r="AZ6" s="1090">
        <v>0</v>
      </c>
      <c r="BA6" s="1104" t="s">
        <v>93</v>
      </c>
      <c r="BB6" s="1104" t="s">
        <v>93</v>
      </c>
      <c r="BC6" s="1308">
        <v>0.6875</v>
      </c>
      <c r="BD6" s="1534">
        <v>0</v>
      </c>
      <c r="BE6" s="1534">
        <v>0.6875</v>
      </c>
      <c r="BF6" s="1308">
        <v>0</v>
      </c>
      <c r="BG6" s="1693">
        <v>0.66666666666666663</v>
      </c>
      <c r="BH6" s="1694">
        <v>0.97916666666666663</v>
      </c>
      <c r="BI6" s="1695">
        <v>0.6875</v>
      </c>
      <c r="BJ6" s="1695">
        <v>0</v>
      </c>
      <c r="BK6" s="1308">
        <v>0.6875</v>
      </c>
      <c r="BL6" s="1469">
        <v>0</v>
      </c>
      <c r="BM6" s="1226" t="s">
        <v>21</v>
      </c>
      <c r="BN6" s="1144" t="s">
        <v>19</v>
      </c>
      <c r="BO6" s="1143"/>
      <c r="BP6" s="1090"/>
      <c r="BQ6" s="1005"/>
      <c r="BR6" s="1005"/>
      <c r="BS6" s="1005"/>
      <c r="BT6" s="1135"/>
      <c r="BU6" s="1135"/>
      <c r="BV6" s="1005"/>
      <c r="BW6" s="1166"/>
      <c r="BX6" s="1136"/>
      <c r="BY6" s="1123"/>
      <c r="BZ6" s="1123"/>
      <c r="CA6" s="1005"/>
      <c r="CB6" s="1005"/>
    </row>
    <row r="7" spans="1:80" x14ac:dyDescent="0.45">
      <c r="A7" s="1423" t="s">
        <v>21</v>
      </c>
      <c r="B7" s="1420" t="s">
        <v>19</v>
      </c>
      <c r="C7" s="1413">
        <v>0.6875</v>
      </c>
      <c r="D7" s="1005">
        <v>0</v>
      </c>
      <c r="E7" s="1005">
        <v>0.6875</v>
      </c>
      <c r="F7" s="1005">
        <v>0</v>
      </c>
      <c r="G7" s="1104" t="s">
        <v>95</v>
      </c>
      <c r="H7" s="1104" t="s">
        <v>95</v>
      </c>
      <c r="I7" s="1005">
        <v>0.75</v>
      </c>
      <c r="J7" s="1005">
        <v>4.1666666666666664E-2</v>
      </c>
      <c r="K7" s="1005">
        <v>0.6875</v>
      </c>
      <c r="L7" s="1005">
        <v>0</v>
      </c>
      <c r="M7" s="1005">
        <v>0.6875</v>
      </c>
      <c r="N7" s="1005">
        <v>0</v>
      </c>
      <c r="O7" s="1090">
        <v>0.6875</v>
      </c>
      <c r="P7" s="1327">
        <v>0</v>
      </c>
      <c r="Q7" s="1225" t="s">
        <v>18</v>
      </c>
      <c r="R7" s="1144" t="s">
        <v>19</v>
      </c>
      <c r="S7" s="1491" t="s">
        <v>90</v>
      </c>
      <c r="T7" s="1104" t="s">
        <v>90</v>
      </c>
      <c r="U7" s="1005">
        <v>0.6875</v>
      </c>
      <c r="V7" s="1005">
        <v>0</v>
      </c>
      <c r="W7" s="1092">
        <v>0.6875</v>
      </c>
      <c r="X7" s="1092">
        <v>0</v>
      </c>
      <c r="Y7" s="1005">
        <v>0.54166666666666663</v>
      </c>
      <c r="Z7" s="1135">
        <v>0.875</v>
      </c>
      <c r="AA7" s="1143">
        <v>0.58333333333333337</v>
      </c>
      <c r="AB7" s="1005">
        <v>0.90972222222222221</v>
      </c>
      <c r="AC7" s="1104" t="s">
        <v>91</v>
      </c>
      <c r="AD7" s="1104" t="s">
        <v>91</v>
      </c>
      <c r="AE7" s="1090">
        <v>0.64583333333333337</v>
      </c>
      <c r="AF7" s="1468">
        <v>0.96527777777777779</v>
      </c>
      <c r="AG7" s="1225" t="s">
        <v>18</v>
      </c>
      <c r="AH7" s="1547" t="s">
        <v>19</v>
      </c>
      <c r="AI7" s="1005">
        <v>0.5</v>
      </c>
      <c r="AJ7" s="1135">
        <v>0.83333333333333337</v>
      </c>
      <c r="AK7" s="1005">
        <v>0.5</v>
      </c>
      <c r="AL7" s="1135">
        <v>0.83333333333333337</v>
      </c>
      <c r="AM7" s="1005">
        <v>0.5</v>
      </c>
      <c r="AN7" s="1135">
        <v>0.83333333333333337</v>
      </c>
      <c r="AO7" s="1135">
        <v>0.5</v>
      </c>
      <c r="AP7" s="1135">
        <v>0.83333333333333337</v>
      </c>
      <c r="AQ7" s="1090">
        <v>0.6875</v>
      </c>
      <c r="AR7" s="1135">
        <v>0</v>
      </c>
      <c r="AS7" s="1005">
        <v>0.58333333333333337</v>
      </c>
      <c r="AT7" s="1005">
        <v>0.90972222222222221</v>
      </c>
      <c r="AU7" s="1104" t="s">
        <v>92</v>
      </c>
      <c r="AV7" s="1271" t="s">
        <v>92</v>
      </c>
      <c r="AW7" s="1225" t="s">
        <v>18</v>
      </c>
      <c r="AX7" s="1164" t="s">
        <v>19</v>
      </c>
      <c r="AY7" s="1239">
        <v>0.58333333333333337</v>
      </c>
      <c r="AZ7" s="1005">
        <v>0.90972222222222221</v>
      </c>
      <c r="BA7" s="1091">
        <v>0.58333333333333337</v>
      </c>
      <c r="BB7" s="1135">
        <v>0.90972222222222221</v>
      </c>
      <c r="BC7" s="1101">
        <v>0.79166666666666663</v>
      </c>
      <c r="BD7" s="1101">
        <v>8.3333333333333329E-2</v>
      </c>
      <c r="BE7" s="1104" t="s">
        <v>93</v>
      </c>
      <c r="BF7" s="1104" t="s">
        <v>93</v>
      </c>
      <c r="BG7" s="1104" t="s">
        <v>94</v>
      </c>
      <c r="BH7" s="1104" t="s">
        <v>94</v>
      </c>
      <c r="BI7" s="1005">
        <v>0.6875</v>
      </c>
      <c r="BJ7" s="1005">
        <v>0</v>
      </c>
      <c r="BK7" s="1542">
        <v>0.6875</v>
      </c>
      <c r="BL7" s="1407">
        <v>0</v>
      </c>
      <c r="BM7" s="1225" t="s">
        <v>18</v>
      </c>
      <c r="BN7" s="1164" t="s">
        <v>19</v>
      </c>
      <c r="BO7" s="1091"/>
      <c r="BP7" s="1135"/>
      <c r="BQ7" s="1005"/>
      <c r="BR7" s="1135"/>
      <c r="BS7" s="1005"/>
      <c r="BT7" s="1135"/>
      <c r="BU7" s="1135"/>
      <c r="BV7" s="1135"/>
      <c r="BW7" s="1090"/>
      <c r="BX7" s="1135"/>
      <c r="BY7" s="1005"/>
      <c r="BZ7" s="1005"/>
      <c r="CA7" s="1005"/>
      <c r="CB7" s="1005"/>
    </row>
    <row r="8" spans="1:80" x14ac:dyDescent="0.45">
      <c r="A8" s="1422" t="s">
        <v>18</v>
      </c>
      <c r="B8" s="1420" t="s">
        <v>19</v>
      </c>
      <c r="C8" s="1413">
        <v>0.64583333333333337</v>
      </c>
      <c r="D8" s="1005">
        <v>0.96527777777777779</v>
      </c>
      <c r="E8" s="1090">
        <v>0.64583333333333337</v>
      </c>
      <c r="F8" s="1090">
        <v>0.96527777777777779</v>
      </c>
      <c r="G8" s="1104" t="s">
        <v>95</v>
      </c>
      <c r="H8" s="1104" t="s">
        <v>95</v>
      </c>
      <c r="I8" s="1005">
        <v>0.54166666666666663</v>
      </c>
      <c r="J8" s="1005">
        <v>0.875</v>
      </c>
      <c r="K8" s="1005">
        <v>0.64583333333333337</v>
      </c>
      <c r="L8" s="1005">
        <v>0.96527777777777779</v>
      </c>
      <c r="M8" s="1005">
        <v>0.64583333333333337</v>
      </c>
      <c r="N8" s="1005">
        <v>0.96527777777777779</v>
      </c>
      <c r="O8" s="1005">
        <v>0.64583333333333337</v>
      </c>
      <c r="P8" s="1327">
        <v>0.96527777777777779</v>
      </c>
      <c r="Q8" s="1463" t="s">
        <v>97</v>
      </c>
      <c r="R8" s="1144" t="s">
        <v>19</v>
      </c>
      <c r="S8" s="1492">
        <v>0.66666666666666663</v>
      </c>
      <c r="T8" s="1269">
        <v>0.97916666666666663</v>
      </c>
      <c r="U8" s="1104" t="s">
        <v>90</v>
      </c>
      <c r="V8" s="1104" t="s">
        <v>90</v>
      </c>
      <c r="W8" s="1269">
        <v>0.375</v>
      </c>
      <c r="X8" s="1269">
        <v>0.70833333333333337</v>
      </c>
      <c r="Y8" s="1104" t="s">
        <v>91</v>
      </c>
      <c r="Z8" s="1271" t="s">
        <v>91</v>
      </c>
      <c r="AA8" s="1492">
        <v>0.375</v>
      </c>
      <c r="AB8" s="1269">
        <v>0.70833333333333337</v>
      </c>
      <c r="AC8" s="1269">
        <v>0.66666666666666663</v>
      </c>
      <c r="AD8" s="1269">
        <v>0.97916666666666663</v>
      </c>
      <c r="AE8" s="1269">
        <v>0.66666666666666663</v>
      </c>
      <c r="AF8" s="1470">
        <v>0.97916666666666663</v>
      </c>
      <c r="AG8" s="1463" t="s">
        <v>97</v>
      </c>
      <c r="AH8" s="1164" t="s">
        <v>19</v>
      </c>
      <c r="AI8" s="1539">
        <v>0.66666666666666663</v>
      </c>
      <c r="AJ8" s="1270">
        <v>0.97916666666666663</v>
      </c>
      <c r="AK8" s="1269">
        <v>0.66666666666666663</v>
      </c>
      <c r="AL8" s="1269">
        <v>0.97916666666666663</v>
      </c>
      <c r="AM8" s="1539">
        <v>0.66666666666666663</v>
      </c>
      <c r="AN8" s="1270">
        <v>0.97916666666666663</v>
      </c>
      <c r="AO8" s="1269">
        <v>0.66666666666666663</v>
      </c>
      <c r="AP8" s="1270">
        <v>0.97916666666666663</v>
      </c>
      <c r="AQ8" s="1104" t="s">
        <v>92</v>
      </c>
      <c r="AR8" s="1271" t="s">
        <v>92</v>
      </c>
      <c r="AS8" s="1269">
        <v>0.66666666666666663</v>
      </c>
      <c r="AT8" s="1269">
        <v>0.97916666666666663</v>
      </c>
      <c r="AU8" s="1539">
        <v>0.66666666666666663</v>
      </c>
      <c r="AV8" s="1470">
        <v>0.97916666666666663</v>
      </c>
      <c r="AW8" s="1463" t="s">
        <v>97</v>
      </c>
      <c r="AX8" s="1164" t="s">
        <v>19</v>
      </c>
      <c r="AY8" s="1539">
        <v>0.66666666666666663</v>
      </c>
      <c r="AZ8" s="1270">
        <v>0.97916666666666663</v>
      </c>
      <c r="BA8" s="1269">
        <v>0.66666666666666663</v>
      </c>
      <c r="BB8" s="1269">
        <v>0.97916666666666663</v>
      </c>
      <c r="BC8" s="1539">
        <v>0.66666666666666663</v>
      </c>
      <c r="BD8" s="1269">
        <v>0.97916666666666663</v>
      </c>
      <c r="BE8" s="1104" t="s">
        <v>93</v>
      </c>
      <c r="BF8" s="1104" t="s">
        <v>93</v>
      </c>
      <c r="BG8" s="1104" t="s">
        <v>94</v>
      </c>
      <c r="BH8" s="1104" t="s">
        <v>94</v>
      </c>
      <c r="BI8" s="1539">
        <v>0.66666666666666663</v>
      </c>
      <c r="BJ8" s="1269">
        <v>0.97916666666666663</v>
      </c>
      <c r="BK8" s="1539">
        <v>0.66666666666666663</v>
      </c>
      <c r="BL8" s="1269">
        <v>0.97916666666666663</v>
      </c>
      <c r="BM8" s="1463" t="s">
        <v>97</v>
      </c>
      <c r="BN8" s="1164" t="s">
        <v>19</v>
      </c>
      <c r="BO8" s="1091"/>
      <c r="BP8" s="1135"/>
      <c r="BQ8" s="1005"/>
      <c r="BR8" s="1005"/>
      <c r="BS8" s="1091"/>
      <c r="BT8" s="1135"/>
      <c r="BU8" s="1005"/>
      <c r="BV8" s="1135"/>
      <c r="BW8" s="1005"/>
      <c r="BX8" s="1135"/>
      <c r="BY8" s="1005"/>
      <c r="BZ8" s="1005"/>
      <c r="CA8" s="1005"/>
      <c r="CB8" s="1005"/>
    </row>
    <row r="9" spans="1:80" x14ac:dyDescent="0.45">
      <c r="A9" s="1424" t="s">
        <v>97</v>
      </c>
      <c r="B9" s="1420" t="s">
        <v>19</v>
      </c>
      <c r="C9" s="1414">
        <v>0.66666666666666663</v>
      </c>
      <c r="D9" s="1270">
        <v>0.97916666666666663</v>
      </c>
      <c r="E9" s="1269">
        <v>0.66666666666666663</v>
      </c>
      <c r="F9" s="1270">
        <v>0.97916666666666663</v>
      </c>
      <c r="G9" s="1104" t="s">
        <v>95</v>
      </c>
      <c r="H9" s="1104" t="s">
        <v>95</v>
      </c>
      <c r="I9" s="1269">
        <v>0.375</v>
      </c>
      <c r="J9" s="1269">
        <v>0.70833333333333337</v>
      </c>
      <c r="K9" s="1269">
        <v>0.66666666666666663</v>
      </c>
      <c r="L9" s="1270">
        <v>0.97916666666666663</v>
      </c>
      <c r="M9" s="1269">
        <v>0.66666666666666663</v>
      </c>
      <c r="N9" s="1270">
        <v>0.97916666666666663</v>
      </c>
      <c r="O9" s="1269">
        <v>0.66666666666666663</v>
      </c>
      <c r="P9" s="1329">
        <v>0.97916666666666663</v>
      </c>
      <c r="Q9" s="1227" t="s">
        <v>98</v>
      </c>
      <c r="R9" s="1144" t="s">
        <v>19</v>
      </c>
      <c r="S9" s="1491" t="s">
        <v>90</v>
      </c>
      <c r="T9" s="1104" t="s">
        <v>90</v>
      </c>
      <c r="U9" s="1262">
        <v>0.45833333333333331</v>
      </c>
      <c r="V9" s="1261">
        <v>0.79166666666666663</v>
      </c>
      <c r="W9" s="1101">
        <v>0.79166666666666663</v>
      </c>
      <c r="X9" s="1101">
        <v>8.3333333333333329E-2</v>
      </c>
      <c r="Y9" s="1104" t="s">
        <v>99</v>
      </c>
      <c r="Z9" s="1271" t="s">
        <v>99</v>
      </c>
      <c r="AA9" s="1492">
        <v>0.375</v>
      </c>
      <c r="AB9" s="1269">
        <v>0.70833333333333337</v>
      </c>
      <c r="AC9" s="1005">
        <v>0.58333333333333337</v>
      </c>
      <c r="AD9" s="1005">
        <v>0.90972222222222221</v>
      </c>
      <c r="AE9" s="1005">
        <v>0.58333333333333337</v>
      </c>
      <c r="AF9" s="1468">
        <v>0.90972222222222221</v>
      </c>
      <c r="AG9" s="1227" t="s">
        <v>98</v>
      </c>
      <c r="AH9" s="1144" t="s">
        <v>19</v>
      </c>
      <c r="AI9" s="1005">
        <v>0.4375</v>
      </c>
      <c r="AJ9" s="1005">
        <v>0.77083333333333337</v>
      </c>
      <c r="AK9" s="1005">
        <v>0.4375</v>
      </c>
      <c r="AL9" s="1005">
        <v>0.77083333333333337</v>
      </c>
      <c r="AM9" s="1005">
        <v>0.4375</v>
      </c>
      <c r="AN9" s="1005">
        <v>0.77083333333333337</v>
      </c>
      <c r="AO9" s="1538">
        <v>0.375</v>
      </c>
      <c r="AP9" s="1540">
        <v>0.70833333333333337</v>
      </c>
      <c r="AQ9" s="1104" t="s">
        <v>91</v>
      </c>
      <c r="AR9" s="1104" t="s">
        <v>91</v>
      </c>
      <c r="AS9" s="1005">
        <v>0.6875</v>
      </c>
      <c r="AT9" s="1005">
        <v>0</v>
      </c>
      <c r="AU9" s="1005">
        <v>0.58333333333333337</v>
      </c>
      <c r="AV9" s="1468">
        <v>0.90972222222222221</v>
      </c>
      <c r="AW9" s="1227" t="s">
        <v>98</v>
      </c>
      <c r="AX9" s="1164" t="s">
        <v>19</v>
      </c>
      <c r="AY9" s="1091">
        <v>0.45833333333333331</v>
      </c>
      <c r="AZ9" s="1005">
        <v>0.79166666666666663</v>
      </c>
      <c r="BA9" s="1005">
        <v>0.54166666666666663</v>
      </c>
      <c r="BB9" s="1005">
        <v>0.875</v>
      </c>
      <c r="BC9" s="1005">
        <v>0.54166666666666663</v>
      </c>
      <c r="BD9" s="1005">
        <v>0.875</v>
      </c>
      <c r="BE9" s="1104" t="s">
        <v>92</v>
      </c>
      <c r="BF9" s="1104" t="s">
        <v>92</v>
      </c>
      <c r="BG9" s="1104" t="s">
        <v>93</v>
      </c>
      <c r="BH9" s="1104" t="s">
        <v>93</v>
      </c>
      <c r="BI9" s="1005">
        <v>0.41666666666666669</v>
      </c>
      <c r="BJ9" s="1005">
        <v>0.75</v>
      </c>
      <c r="BK9" s="1005">
        <v>0.41666666666666669</v>
      </c>
      <c r="BL9" s="1468">
        <v>0.75</v>
      </c>
      <c r="BM9" s="1227" t="s">
        <v>98</v>
      </c>
      <c r="BN9" s="1164" t="s">
        <v>19</v>
      </c>
      <c r="BO9" s="1091"/>
      <c r="BP9" s="1005"/>
      <c r="BQ9" s="1005"/>
      <c r="BR9" s="1005"/>
      <c r="BS9" s="1005"/>
      <c r="BT9" s="1005"/>
      <c r="BU9" s="1407"/>
      <c r="BV9" s="1527"/>
      <c r="BW9" s="1005"/>
      <c r="BX9" s="1005"/>
      <c r="BY9" s="1005"/>
      <c r="BZ9" s="1005"/>
      <c r="CA9" s="1005"/>
      <c r="CB9" s="1005"/>
    </row>
    <row r="10" spans="1:80" ht="29.25" thickBot="1" x14ac:dyDescent="0.5">
      <c r="A10" s="1425" t="s">
        <v>98</v>
      </c>
      <c r="B10" s="1420" t="s">
        <v>19</v>
      </c>
      <c r="C10" s="1415" t="s">
        <v>95</v>
      </c>
      <c r="D10" s="1104" t="s">
        <v>95</v>
      </c>
      <c r="E10" s="1005">
        <v>0.75</v>
      </c>
      <c r="F10" s="1005">
        <v>4.1666666666666664E-2</v>
      </c>
      <c r="G10" s="1269">
        <v>0.66666666666666663</v>
      </c>
      <c r="H10" s="1270">
        <v>0.97916666666666663</v>
      </c>
      <c r="I10" s="1269">
        <v>0.66666666666666663</v>
      </c>
      <c r="J10" s="1270">
        <v>0.97916666666666663</v>
      </c>
      <c r="K10" s="1090">
        <v>0.58333333333333337</v>
      </c>
      <c r="L10" s="1090">
        <v>0.90972222222222221</v>
      </c>
      <c r="M10" s="1090">
        <v>0.58333333333333337</v>
      </c>
      <c r="N10" s="1090">
        <v>0.90972222222222221</v>
      </c>
      <c r="O10" s="1090">
        <v>0.58333333333333337</v>
      </c>
      <c r="P10" s="1402">
        <v>0.90972222222222221</v>
      </c>
      <c r="Q10" s="1471" t="s">
        <v>100</v>
      </c>
      <c r="R10" s="1240" t="s">
        <v>19</v>
      </c>
      <c r="S10" s="1239">
        <v>0.45833333333333331</v>
      </c>
      <c r="T10" s="1005">
        <v>0.75</v>
      </c>
      <c r="U10" s="1005">
        <v>0.45833333333333331</v>
      </c>
      <c r="V10" s="1005">
        <v>0.75</v>
      </c>
      <c r="W10" s="1104" t="s">
        <v>90</v>
      </c>
      <c r="X10" s="1104" t="s">
        <v>90</v>
      </c>
      <c r="Y10" s="1104" t="s">
        <v>91</v>
      </c>
      <c r="Z10" s="1271" t="s">
        <v>91</v>
      </c>
      <c r="AA10" s="1239">
        <v>0.45833333333333331</v>
      </c>
      <c r="AB10" s="1005">
        <v>0.75</v>
      </c>
      <c r="AC10" s="1005">
        <v>0.45833333333333331</v>
      </c>
      <c r="AD10" s="1005">
        <v>0.75</v>
      </c>
      <c r="AE10" s="1005">
        <v>0.45833333333333331</v>
      </c>
      <c r="AF10" s="1468">
        <v>0.75</v>
      </c>
      <c r="AG10" s="1471" t="s">
        <v>100</v>
      </c>
      <c r="AH10" s="1144" t="s">
        <v>19</v>
      </c>
      <c r="AI10" s="1005">
        <v>0.375</v>
      </c>
      <c r="AJ10" s="1005">
        <v>0.66666666666666663</v>
      </c>
      <c r="AK10" s="1005">
        <v>0.375</v>
      </c>
      <c r="AL10" s="1005">
        <v>0.66666666666666663</v>
      </c>
      <c r="AM10" s="1005">
        <v>0.375</v>
      </c>
      <c r="AN10" s="1005">
        <v>0.66666666666666663</v>
      </c>
      <c r="AO10" s="1135">
        <v>0.375</v>
      </c>
      <c r="AP10" s="1135">
        <v>0.66666666666666663</v>
      </c>
      <c r="AQ10" s="1104" t="s">
        <v>92</v>
      </c>
      <c r="AR10" s="1104" t="s">
        <v>92</v>
      </c>
      <c r="AS10" s="1005">
        <v>0.45833333333333331</v>
      </c>
      <c r="AT10" s="1005">
        <v>0.75</v>
      </c>
      <c r="AU10" s="1005">
        <v>0.45833333333333331</v>
      </c>
      <c r="AV10" s="1005">
        <v>0.75</v>
      </c>
      <c r="AW10" s="1471" t="s">
        <v>100</v>
      </c>
      <c r="AX10" s="1164" t="s">
        <v>19</v>
      </c>
      <c r="AY10" s="1104" t="s">
        <v>93</v>
      </c>
      <c r="AZ10" s="1104" t="s">
        <v>93</v>
      </c>
      <c r="BA10" s="1005">
        <v>0.45833333333333331</v>
      </c>
      <c r="BB10" s="1005">
        <v>0.79166666666666663</v>
      </c>
      <c r="BC10" s="1005">
        <v>0.375</v>
      </c>
      <c r="BD10" s="1005">
        <v>0.66666666666666663</v>
      </c>
      <c r="BE10" s="1005">
        <v>0.375</v>
      </c>
      <c r="BF10" s="1005">
        <v>0.66666666666666663</v>
      </c>
      <c r="BG10" s="1005">
        <v>0.375</v>
      </c>
      <c r="BH10" s="1005">
        <v>0.66666666666666663</v>
      </c>
      <c r="BI10" s="1005">
        <v>0.375</v>
      </c>
      <c r="BJ10" s="1005">
        <v>0.66666666666666663</v>
      </c>
      <c r="BK10" s="1005">
        <v>0.375</v>
      </c>
      <c r="BL10" s="1005">
        <v>0.66666666666666663</v>
      </c>
      <c r="BM10" s="1471" t="s">
        <v>100</v>
      </c>
      <c r="BN10" s="1164" t="s">
        <v>19</v>
      </c>
      <c r="BO10" s="1091"/>
      <c r="BP10" s="1005"/>
      <c r="BQ10" s="1005"/>
      <c r="BR10" s="1005"/>
      <c r="BS10" s="1005"/>
      <c r="BT10" s="1005"/>
      <c r="BU10" s="1135"/>
      <c r="BV10" s="1135"/>
      <c r="BW10" s="1005"/>
      <c r="BX10" s="1005"/>
      <c r="BY10" s="1005"/>
      <c r="BZ10" s="1005"/>
      <c r="CA10" s="1005"/>
      <c r="CB10" s="1005"/>
    </row>
    <row r="11" spans="1:80" ht="29.25" thickBot="1" x14ac:dyDescent="0.5">
      <c r="A11" s="1426" t="s">
        <v>100</v>
      </c>
      <c r="B11" s="1420" t="s">
        <v>19</v>
      </c>
      <c r="C11" s="1416">
        <v>0.45833333333333331</v>
      </c>
      <c r="D11" s="1330">
        <v>0.75</v>
      </c>
      <c r="E11" s="1331" t="s">
        <v>95</v>
      </c>
      <c r="F11" s="1331" t="s">
        <v>95</v>
      </c>
      <c r="G11" s="1417">
        <v>0.375</v>
      </c>
      <c r="H11" s="1417">
        <v>0.66666666666666663</v>
      </c>
      <c r="I11" s="1330">
        <v>0.375</v>
      </c>
      <c r="J11" s="1330">
        <v>0.66666666666666663</v>
      </c>
      <c r="K11" s="1330">
        <v>0.45833333333333331</v>
      </c>
      <c r="L11" s="1330">
        <v>0.75</v>
      </c>
      <c r="M11" s="1330">
        <v>0.45833333333333331</v>
      </c>
      <c r="N11" s="1330">
        <v>0.75</v>
      </c>
      <c r="O11" s="1330">
        <v>0.45833333333333331</v>
      </c>
      <c r="P11" s="1418">
        <v>0.75</v>
      </c>
      <c r="Q11" s="1472" t="s">
        <v>101</v>
      </c>
      <c r="R11" s="1486" t="s">
        <v>19</v>
      </c>
      <c r="S11" s="1143">
        <v>0.66666666666666663</v>
      </c>
      <c r="T11" s="1090">
        <v>0.97916666666666663</v>
      </c>
      <c r="U11" s="1005">
        <v>0.70833333333333337</v>
      </c>
      <c r="V11" s="1005">
        <v>1.3888888888888888E-2</v>
      </c>
      <c r="W11" s="1269">
        <v>0.66666666666666663</v>
      </c>
      <c r="X11" s="1269">
        <v>0.97916666666666663</v>
      </c>
      <c r="Y11" s="1269">
        <v>0.66666666666666663</v>
      </c>
      <c r="Z11" s="1270">
        <v>0.97916666666666663</v>
      </c>
      <c r="AA11" s="1210" t="s">
        <v>90</v>
      </c>
      <c r="AB11" s="1104" t="s">
        <v>90</v>
      </c>
      <c r="AC11" s="1145" t="s">
        <v>91</v>
      </c>
      <c r="AD11" s="1104" t="s">
        <v>91</v>
      </c>
      <c r="AE11" s="1090">
        <v>0.6875</v>
      </c>
      <c r="AF11" s="1468">
        <v>1</v>
      </c>
      <c r="AG11" s="1472" t="s">
        <v>101</v>
      </c>
      <c r="AH11" s="1486" t="s">
        <v>19</v>
      </c>
      <c r="AI11" s="1143">
        <v>0.54166666666666663</v>
      </c>
      <c r="AJ11" s="1090">
        <v>0.875</v>
      </c>
      <c r="AK11" s="1005">
        <v>0.54166666666666663</v>
      </c>
      <c r="AL11" s="1005">
        <v>0.875</v>
      </c>
      <c r="AM11" s="1104" t="s">
        <v>92</v>
      </c>
      <c r="AN11" s="1271" t="s">
        <v>92</v>
      </c>
      <c r="AO11" s="1308">
        <v>0.58333333333333337</v>
      </c>
      <c r="AP11" s="1534">
        <v>0.90972222222222221</v>
      </c>
      <c r="AQ11" s="1090">
        <v>0.58333333333333337</v>
      </c>
      <c r="AR11" s="1005">
        <v>0.90972222222222221</v>
      </c>
      <c r="AS11" s="1090">
        <v>0.67708333333333337</v>
      </c>
      <c r="AT11" s="1005">
        <v>0.98958333333333337</v>
      </c>
      <c r="AU11" s="1090">
        <v>0.67708333333333337</v>
      </c>
      <c r="AV11" s="1468">
        <v>0.98958333333333337</v>
      </c>
      <c r="AW11" s="1472" t="s">
        <v>101</v>
      </c>
      <c r="AX11" s="1144" t="s">
        <v>19</v>
      </c>
      <c r="AY11" s="1143">
        <v>0.54166666666666663</v>
      </c>
      <c r="AZ11" s="1090">
        <v>0.875</v>
      </c>
      <c r="BA11" s="1269">
        <v>0.375</v>
      </c>
      <c r="BB11" s="1269">
        <v>0.70833333333333337</v>
      </c>
      <c r="BC11" s="1539">
        <v>0.375</v>
      </c>
      <c r="BD11" s="1270">
        <v>0.70833333333333337</v>
      </c>
      <c r="BE11" s="1104" t="s">
        <v>93</v>
      </c>
      <c r="BF11" s="1104" t="s">
        <v>93</v>
      </c>
      <c r="BG11" s="1539">
        <v>0.66666666666666663</v>
      </c>
      <c r="BH11" s="1269">
        <v>0.97916666666666663</v>
      </c>
      <c r="BI11" s="1691">
        <v>0.47916666666666669</v>
      </c>
      <c r="BJ11" s="1123">
        <v>0.8125</v>
      </c>
      <c r="BK11" s="1090">
        <v>0.45833333333333331</v>
      </c>
      <c r="BL11" s="1468">
        <v>0.79166666666666663</v>
      </c>
      <c r="BM11" s="1472" t="s">
        <v>101</v>
      </c>
      <c r="BN11" s="1144" t="s">
        <v>19</v>
      </c>
      <c r="BO11" s="1143"/>
      <c r="BP11" s="1090"/>
      <c r="BQ11" s="1005"/>
      <c r="BR11" s="1005"/>
      <c r="BS11" s="1005"/>
      <c r="BT11" s="1135"/>
      <c r="BU11" s="1005"/>
      <c r="BV11" s="1135"/>
      <c r="BW11" s="1090"/>
      <c r="BX11" s="1005"/>
      <c r="BY11" s="1090"/>
      <c r="BZ11" s="1005"/>
      <c r="CA11" s="1005"/>
      <c r="CB11" s="1005"/>
    </row>
    <row r="12" spans="1:80" ht="29.25" thickBot="1" x14ac:dyDescent="0.5">
      <c r="A12" s="1403" t="s">
        <v>102</v>
      </c>
      <c r="B12" s="1431" t="s">
        <v>38</v>
      </c>
      <c r="C12" s="1435">
        <v>0.66666666666666663</v>
      </c>
      <c r="D12" s="1409">
        <v>0.97916666666666663</v>
      </c>
      <c r="E12" s="1405"/>
      <c r="F12" s="1405"/>
      <c r="G12" s="1406">
        <v>0.54166666666666663</v>
      </c>
      <c r="H12" s="1406">
        <v>0.875</v>
      </c>
      <c r="I12" s="1407">
        <v>0.54166666666666663</v>
      </c>
      <c r="J12" s="1407">
        <v>0.875</v>
      </c>
      <c r="K12" s="1405"/>
      <c r="L12" s="1408"/>
      <c r="M12" s="1405"/>
      <c r="N12" s="1408"/>
      <c r="O12" s="1409">
        <v>0.72916666666666663</v>
      </c>
      <c r="P12" s="1410">
        <v>0</v>
      </c>
      <c r="Q12" s="1473" t="s">
        <v>103</v>
      </c>
      <c r="R12" s="1474" t="s">
        <v>19</v>
      </c>
      <c r="S12" s="1507">
        <v>0.6875</v>
      </c>
      <c r="T12" s="1122">
        <v>1</v>
      </c>
      <c r="U12" s="1122">
        <v>0.58333333333333337</v>
      </c>
      <c r="V12" s="1122">
        <v>0.90972222222222221</v>
      </c>
      <c r="W12" s="1123">
        <v>0.4375</v>
      </c>
      <c r="X12" s="1123">
        <v>0.77083333333333337</v>
      </c>
      <c r="Y12" s="1123">
        <v>0.4375</v>
      </c>
      <c r="Z12" s="1136">
        <v>0.77083333333333337</v>
      </c>
      <c r="AA12" s="1475">
        <v>0.6875</v>
      </c>
      <c r="AB12" s="1477">
        <v>0</v>
      </c>
      <c r="AC12" s="1478" t="s">
        <v>90</v>
      </c>
      <c r="AD12" s="1479" t="s">
        <v>90</v>
      </c>
      <c r="AE12" s="1478" t="s">
        <v>91</v>
      </c>
      <c r="AF12" s="1480" t="s">
        <v>91</v>
      </c>
      <c r="AG12" s="1473" t="s">
        <v>103</v>
      </c>
      <c r="AH12" s="1474" t="s">
        <v>19</v>
      </c>
      <c r="AI12" s="1535">
        <v>0.54166666666666663</v>
      </c>
      <c r="AJ12" s="1536">
        <v>0.875</v>
      </c>
      <c r="AK12" s="1536">
        <v>0.54166666666666663</v>
      </c>
      <c r="AL12" s="1536">
        <v>0.875</v>
      </c>
      <c r="AM12" s="1526">
        <v>0.45833333333333331</v>
      </c>
      <c r="AN12" s="1526">
        <v>0.79166666666666663</v>
      </c>
      <c r="AO12" s="1528">
        <v>0.4375</v>
      </c>
      <c r="AP12" s="1528">
        <v>0.77083333333333337</v>
      </c>
      <c r="AQ12" s="1541">
        <v>0.45833333333333331</v>
      </c>
      <c r="AR12" s="1541">
        <v>0.75</v>
      </c>
      <c r="AS12" s="1530" t="s">
        <v>92</v>
      </c>
      <c r="AT12" s="1531" t="s">
        <v>92</v>
      </c>
      <c r="AU12" s="1526">
        <v>0.6875</v>
      </c>
      <c r="AV12" s="1658">
        <v>0</v>
      </c>
      <c r="AW12" s="1473" t="s">
        <v>103</v>
      </c>
      <c r="AX12" s="1661" t="s">
        <v>19</v>
      </c>
      <c r="AY12" s="1667">
        <v>0.66666666666666663</v>
      </c>
      <c r="AZ12" s="1526">
        <v>0.97916666666666663</v>
      </c>
      <c r="BA12" s="1657">
        <v>0.75</v>
      </c>
      <c r="BB12" s="1657">
        <v>4.1666666666666664E-2</v>
      </c>
      <c r="BC12" s="1666">
        <v>0.79166666666666663</v>
      </c>
      <c r="BD12" s="1666">
        <v>8.3333333333333329E-2</v>
      </c>
      <c r="BE12" s="1696">
        <v>0.6875</v>
      </c>
      <c r="BF12" s="1696">
        <v>0</v>
      </c>
      <c r="BG12" s="1541">
        <v>0.5</v>
      </c>
      <c r="BH12" s="1690">
        <v>0.83333333333333337</v>
      </c>
      <c r="BI12" s="1530" t="s">
        <v>93</v>
      </c>
      <c r="BJ12" s="1530" t="s">
        <v>93</v>
      </c>
      <c r="BK12" s="1529">
        <v>0.54166666666666663</v>
      </c>
      <c r="BL12" s="1658">
        <v>0.875</v>
      </c>
      <c r="BM12" s="1473" t="s">
        <v>103</v>
      </c>
      <c r="BN12" s="1661" t="s">
        <v>19</v>
      </c>
      <c r="BO12" s="1656"/>
      <c r="BP12" s="1657"/>
      <c r="BQ12" s="1657"/>
      <c r="BR12" s="1657"/>
      <c r="BS12" s="1526"/>
      <c r="BT12" s="1526"/>
      <c r="BU12" s="1528"/>
      <c r="BV12" s="1528"/>
      <c r="BW12" s="1541"/>
      <c r="BX12" s="1541"/>
      <c r="BY12" s="1529"/>
      <c r="BZ12" s="1528"/>
      <c r="CA12" s="1526"/>
      <c r="CB12" s="1526"/>
    </row>
    <row r="13" spans="1:80" x14ac:dyDescent="0.45">
      <c r="A13" s="1319" t="s">
        <v>103</v>
      </c>
      <c r="B13" s="1432" t="s">
        <v>38</v>
      </c>
      <c r="C13" s="1090">
        <v>0.66666666666666663</v>
      </c>
      <c r="D13" s="1090">
        <v>0.97916666666666663</v>
      </c>
      <c r="E13" s="1145"/>
      <c r="F13" s="1145"/>
      <c r="G13" s="1092">
        <v>0.4375</v>
      </c>
      <c r="H13" s="1092">
        <v>0.77083333333333337</v>
      </c>
      <c r="I13" s="1005">
        <v>0.4375</v>
      </c>
      <c r="J13" s="1005">
        <v>0.77083333333333337</v>
      </c>
      <c r="K13" s="1090">
        <v>0.72916666666666663</v>
      </c>
      <c r="L13" s="1090">
        <v>0</v>
      </c>
      <c r="M13" s="1145"/>
      <c r="N13" s="1104"/>
      <c r="O13" s="1145"/>
      <c r="P13" s="1328"/>
      <c r="Q13" s="1482" t="s">
        <v>102</v>
      </c>
      <c r="R13" s="1128" t="s">
        <v>38</v>
      </c>
      <c r="S13" s="1495">
        <v>0.67708333333333337</v>
      </c>
      <c r="T13" s="1496">
        <v>0.98958333333333337</v>
      </c>
      <c r="U13" s="1497"/>
      <c r="V13" s="1497"/>
      <c r="W13" s="1498">
        <v>0.45833333333333331</v>
      </c>
      <c r="X13" s="1498">
        <v>0.79166666666666663</v>
      </c>
      <c r="Y13" s="1498">
        <v>0.45833333333333331</v>
      </c>
      <c r="Z13" s="1499">
        <v>0.79166666666666663</v>
      </c>
      <c r="AA13" s="1506"/>
      <c r="AB13" s="1408"/>
      <c r="AC13" s="1405"/>
      <c r="AD13" s="1408"/>
      <c r="AE13" s="1483"/>
      <c r="AF13" s="1484"/>
      <c r="AG13" s="1482" t="s">
        <v>102</v>
      </c>
      <c r="AH13" s="1128" t="s">
        <v>38</v>
      </c>
      <c r="AI13" s="1519">
        <v>0.6875</v>
      </c>
      <c r="AJ13" s="1409">
        <v>0</v>
      </c>
      <c r="AK13" s="1409">
        <v>0.6875</v>
      </c>
      <c r="AL13" s="1409">
        <v>0</v>
      </c>
      <c r="AM13" s="1460"/>
      <c r="AN13" s="1460"/>
      <c r="AO13" s="1527">
        <v>0.6875</v>
      </c>
      <c r="AP13" s="1407">
        <v>0</v>
      </c>
      <c r="AQ13" s="1506"/>
      <c r="AR13" s="1408"/>
      <c r="AS13" s="1405"/>
      <c r="AT13" s="1408"/>
      <c r="AU13" s="1405"/>
      <c r="AV13" s="1408"/>
      <c r="AW13" s="1482" t="s">
        <v>102</v>
      </c>
      <c r="AX13" s="1128" t="s">
        <v>38</v>
      </c>
      <c r="AY13" s="1519">
        <v>0.67708333333333337</v>
      </c>
      <c r="AZ13" s="1409">
        <v>0.98958333333333337</v>
      </c>
      <c r="BA13" s="1672"/>
      <c r="BB13" s="1672"/>
      <c r="BC13" s="1407">
        <v>0.41666666666666669</v>
      </c>
      <c r="BD13" s="1407">
        <v>0.75</v>
      </c>
      <c r="BE13" s="1527">
        <v>0.41666666666666669</v>
      </c>
      <c r="BF13" s="1407">
        <v>0.75</v>
      </c>
      <c r="BG13" s="1675"/>
      <c r="BH13" s="1676"/>
      <c r="BI13" s="1672"/>
      <c r="BJ13" s="1676"/>
      <c r="BK13" s="1672"/>
      <c r="BL13" s="1676"/>
      <c r="BM13" s="1482" t="s">
        <v>102</v>
      </c>
      <c r="BN13" s="1128" t="s">
        <v>38</v>
      </c>
      <c r="BO13" s="1519"/>
      <c r="BP13" s="1409"/>
      <c r="BQ13" s="1409"/>
      <c r="BR13" s="1409"/>
      <c r="BS13" s="1407"/>
      <c r="BT13" s="1407"/>
      <c r="BU13" s="1527"/>
      <c r="BV13" s="1407"/>
      <c r="BW13" s="1435"/>
      <c r="BX13" s="1407"/>
      <c r="BY13" s="1409"/>
      <c r="BZ13" s="1407"/>
      <c r="CA13" s="1409"/>
      <c r="CB13" s="1407"/>
    </row>
    <row r="14" spans="1:80" x14ac:dyDescent="0.45">
      <c r="A14" s="1320" t="s">
        <v>104</v>
      </c>
      <c r="B14" s="1432" t="s">
        <v>38</v>
      </c>
      <c r="C14" s="1244">
        <v>0.66666666666666663</v>
      </c>
      <c r="D14" s="1090">
        <v>0.97916666666666663</v>
      </c>
      <c r="E14" s="1145"/>
      <c r="F14" s="1145"/>
      <c r="G14" s="1092">
        <v>0.45833333333333331</v>
      </c>
      <c r="H14" s="1092">
        <v>0.79166666666666663</v>
      </c>
      <c r="I14" s="1005">
        <v>0.45833333333333331</v>
      </c>
      <c r="J14" s="1005">
        <v>0.79166666666666663</v>
      </c>
      <c r="K14" s="1145"/>
      <c r="L14" s="1104"/>
      <c r="M14" s="1090">
        <v>0.72916666666666663</v>
      </c>
      <c r="N14" s="1005">
        <v>0</v>
      </c>
      <c r="O14" s="1145"/>
      <c r="P14" s="1328"/>
      <c r="Q14" s="1100" t="s">
        <v>104</v>
      </c>
      <c r="R14" s="1128" t="s">
        <v>38</v>
      </c>
      <c r="S14" s="1143">
        <v>0.64583333333333337</v>
      </c>
      <c r="T14" s="1090">
        <v>0.96527777777777779</v>
      </c>
      <c r="U14" s="1145"/>
      <c r="V14" s="1145"/>
      <c r="W14" s="1092">
        <v>0.375</v>
      </c>
      <c r="X14" s="1092">
        <v>0.70833333333333337</v>
      </c>
      <c r="Y14" s="1092">
        <v>0.375</v>
      </c>
      <c r="Z14" s="1500">
        <v>0.70833333333333337</v>
      </c>
      <c r="AA14" s="1284"/>
      <c r="AB14" s="1104"/>
      <c r="AC14" s="1145"/>
      <c r="AD14" s="1104"/>
      <c r="AE14" s="1261">
        <v>0.72916666666666663</v>
      </c>
      <c r="AF14" s="1262">
        <v>0</v>
      </c>
      <c r="AG14" s="1100" t="s">
        <v>104</v>
      </c>
      <c r="AH14" s="1128" t="s">
        <v>38</v>
      </c>
      <c r="AI14" s="1143">
        <v>0.6875</v>
      </c>
      <c r="AJ14" s="1090">
        <v>0</v>
      </c>
      <c r="AK14" s="1090">
        <v>0.6875</v>
      </c>
      <c r="AL14" s="1090">
        <v>0</v>
      </c>
      <c r="AM14" s="1537">
        <v>0.54166666666666663</v>
      </c>
      <c r="AN14" s="1537">
        <v>0.875</v>
      </c>
      <c r="AO14" s="1517"/>
      <c r="AP14" s="1516"/>
      <c r="AQ14" s="1284"/>
      <c r="AR14" s="1104"/>
      <c r="AS14" s="1145"/>
      <c r="AT14" s="1104"/>
      <c r="AU14" s="1145"/>
      <c r="AV14" s="1104"/>
      <c r="AW14" s="1100" t="s">
        <v>104</v>
      </c>
      <c r="AX14" s="1128" t="s">
        <v>38</v>
      </c>
      <c r="AY14" s="1143">
        <v>0.6875</v>
      </c>
      <c r="AZ14" s="1090">
        <v>0</v>
      </c>
      <c r="BA14" s="1671"/>
      <c r="BB14" s="1671"/>
      <c r="BC14" s="1092">
        <v>0.45833333333333331</v>
      </c>
      <c r="BD14" s="1092">
        <v>0.79166666666666663</v>
      </c>
      <c r="BE14" s="1092">
        <v>0.45833333333333331</v>
      </c>
      <c r="BF14" s="1092">
        <v>0.79166666666666663</v>
      </c>
      <c r="BG14" s="1677"/>
      <c r="BH14" s="1678"/>
      <c r="BI14" s="1671"/>
      <c r="BJ14" s="1678"/>
      <c r="BK14" s="1671"/>
      <c r="BL14" s="1678"/>
      <c r="BM14" s="1100" t="s">
        <v>104</v>
      </c>
      <c r="BN14" s="1128" t="s">
        <v>38</v>
      </c>
      <c r="BO14" s="1143"/>
      <c r="BP14" s="1090"/>
      <c r="BQ14" s="1090"/>
      <c r="BR14" s="1090"/>
      <c r="BS14" s="1092"/>
      <c r="BT14" s="1092"/>
      <c r="BU14" s="1659"/>
      <c r="BV14" s="1092"/>
      <c r="BW14" s="1244"/>
      <c r="BX14" s="1005"/>
      <c r="BY14" s="1090"/>
      <c r="BZ14" s="1005"/>
      <c r="CA14" s="1090"/>
      <c r="CB14" s="1005"/>
    </row>
    <row r="15" spans="1:80" x14ac:dyDescent="0.45">
      <c r="A15" s="1319" t="s">
        <v>105</v>
      </c>
      <c r="B15" s="1432" t="s">
        <v>38</v>
      </c>
      <c r="C15" s="1244">
        <v>0.66666666666666663</v>
      </c>
      <c r="D15" s="1090">
        <v>0.97916666666666663</v>
      </c>
      <c r="E15" s="1145"/>
      <c r="F15" s="1145"/>
      <c r="G15" s="1308">
        <v>0.6875</v>
      </c>
      <c r="H15" s="1308">
        <v>0</v>
      </c>
      <c r="I15" s="1308">
        <v>0.6875</v>
      </c>
      <c r="J15" s="1308">
        <v>0</v>
      </c>
      <c r="K15" s="1145"/>
      <c r="L15" s="1104"/>
      <c r="M15" s="1145"/>
      <c r="N15" s="1104"/>
      <c r="O15" s="1090">
        <v>0.72916666666666663</v>
      </c>
      <c r="P15" s="1005">
        <v>0</v>
      </c>
      <c r="Q15" s="1099" t="s">
        <v>105</v>
      </c>
      <c r="R15" s="1128" t="s">
        <v>38</v>
      </c>
      <c r="S15" s="1143">
        <v>0.67708333333333337</v>
      </c>
      <c r="T15" s="1090">
        <v>0.98958333333333337</v>
      </c>
      <c r="U15" s="1145"/>
      <c r="V15" s="1145"/>
      <c r="W15" s="1457">
        <v>0.625</v>
      </c>
      <c r="X15" s="1457">
        <v>0.94444444444444442</v>
      </c>
      <c r="Y15" s="1005">
        <v>0.64583333333333337</v>
      </c>
      <c r="Z15" s="1468">
        <v>0.96527777777777779</v>
      </c>
      <c r="AA15" s="1284"/>
      <c r="AB15" s="1104"/>
      <c r="AC15" s="1145"/>
      <c r="AD15" s="1104"/>
      <c r="AE15" s="1261">
        <v>0.72916666666666663</v>
      </c>
      <c r="AF15" s="1262">
        <v>0</v>
      </c>
      <c r="AG15" s="1099" t="s">
        <v>105</v>
      </c>
      <c r="AH15" s="1128" t="s">
        <v>38</v>
      </c>
      <c r="AI15" s="1143">
        <v>0.6875</v>
      </c>
      <c r="AJ15" s="1090">
        <v>0</v>
      </c>
      <c r="AK15" s="1090">
        <v>0.6875</v>
      </c>
      <c r="AL15" s="1090">
        <v>0</v>
      </c>
      <c r="AM15" s="1460"/>
      <c r="AN15" s="1460"/>
      <c r="AO15" s="1005">
        <v>0.6875</v>
      </c>
      <c r="AP15" s="1005">
        <v>0</v>
      </c>
      <c r="AQ15" s="1284"/>
      <c r="AR15" s="1104"/>
      <c r="AS15" s="1145"/>
      <c r="AT15" s="1104"/>
      <c r="AU15" s="1145"/>
      <c r="AV15" s="1104"/>
      <c r="AW15" s="1099" t="s">
        <v>105</v>
      </c>
      <c r="AX15" s="1128" t="s">
        <v>38</v>
      </c>
      <c r="AY15" s="1670"/>
      <c r="AZ15" s="1674"/>
      <c r="BA15" s="1090">
        <v>0.625</v>
      </c>
      <c r="BB15" s="1090">
        <v>0.94444444444444442</v>
      </c>
      <c r="BC15" s="1101">
        <v>0.79166666666666663</v>
      </c>
      <c r="BD15" s="1101">
        <v>8.3333333333333329E-2</v>
      </c>
      <c r="BE15" s="1005">
        <v>0.6875</v>
      </c>
      <c r="BF15" s="1005">
        <v>0</v>
      </c>
      <c r="BG15" s="1677"/>
      <c r="BH15" s="1678"/>
      <c r="BI15" s="1671"/>
      <c r="BJ15" s="1678"/>
      <c r="BK15" s="1671"/>
      <c r="BL15" s="1678"/>
      <c r="BM15" s="1099" t="s">
        <v>105</v>
      </c>
      <c r="BN15" s="1128" t="s">
        <v>38</v>
      </c>
      <c r="BO15" s="1143"/>
      <c r="BP15" s="1090"/>
      <c r="BQ15" s="1090"/>
      <c r="BR15" s="1090"/>
      <c r="BS15" s="1005"/>
      <c r="BT15" s="1005"/>
      <c r="BU15" s="1005"/>
      <c r="BV15" s="1005"/>
      <c r="BW15" s="1244"/>
      <c r="BX15" s="1005"/>
      <c r="BY15" s="1090"/>
      <c r="BZ15" s="1005"/>
      <c r="CA15" s="1090"/>
      <c r="CB15" s="1005"/>
    </row>
    <row r="16" spans="1:80" x14ac:dyDescent="0.45">
      <c r="A16" s="1321" t="s">
        <v>106</v>
      </c>
      <c r="B16" s="1432" t="s">
        <v>38</v>
      </c>
      <c r="C16" s="1244">
        <v>0.67708333333333337</v>
      </c>
      <c r="D16" s="1090">
        <v>0.98958333333333337</v>
      </c>
      <c r="E16" s="1092">
        <v>0.70833333333333337</v>
      </c>
      <c r="F16" s="1092">
        <v>1.3888888888888888E-2</v>
      </c>
      <c r="G16" s="1005">
        <v>0.58333333333333337</v>
      </c>
      <c r="H16" s="1005">
        <v>0.90972222222222221</v>
      </c>
      <c r="I16" s="1104"/>
      <c r="J16" s="1104"/>
      <c r="K16" s="1145"/>
      <c r="L16" s="1145"/>
      <c r="M16" s="1145"/>
      <c r="N16" s="1104"/>
      <c r="O16" s="1145"/>
      <c r="P16" s="1328"/>
      <c r="Q16" s="1098" t="s">
        <v>106</v>
      </c>
      <c r="R16" s="1128" t="s">
        <v>38</v>
      </c>
      <c r="S16" s="1143">
        <v>0.64583333333333337</v>
      </c>
      <c r="T16" s="1090">
        <v>0.96527777777777779</v>
      </c>
      <c r="U16" s="1145"/>
      <c r="V16" s="1145"/>
      <c r="W16" s="1101">
        <v>0.79166666666666663</v>
      </c>
      <c r="X16" s="1101">
        <v>8.3333333333333329E-2</v>
      </c>
      <c r="Y16" s="1005">
        <v>0.75</v>
      </c>
      <c r="Z16" s="1468">
        <v>4.1666666666666664E-2</v>
      </c>
      <c r="AA16" s="1284"/>
      <c r="AB16" s="1104"/>
      <c r="AC16" s="1145"/>
      <c r="AD16" s="1104"/>
      <c r="AE16" s="1213"/>
      <c r="AF16" s="1460"/>
      <c r="AG16" s="1098" t="s">
        <v>106</v>
      </c>
      <c r="AH16" s="1128" t="s">
        <v>38</v>
      </c>
      <c r="AI16" s="1143">
        <v>0.6875</v>
      </c>
      <c r="AJ16" s="1090">
        <v>0</v>
      </c>
      <c r="AK16" s="1090">
        <v>0.6875</v>
      </c>
      <c r="AL16" s="1090">
        <v>0</v>
      </c>
      <c r="AM16" s="1524">
        <v>0.54166666666666663</v>
      </c>
      <c r="AN16" s="1524">
        <v>0.83333333333333337</v>
      </c>
      <c r="AO16" s="1135">
        <v>0.45833333333333331</v>
      </c>
      <c r="AP16" s="1005">
        <v>0.79166666666666663</v>
      </c>
      <c r="AQ16" s="1284"/>
      <c r="AR16" s="1104"/>
      <c r="AS16" s="1145"/>
      <c r="AT16" s="1104"/>
      <c r="AU16" s="1145"/>
      <c r="AV16" s="1104"/>
      <c r="AW16" s="1098" t="s">
        <v>106</v>
      </c>
      <c r="AX16" s="1128" t="s">
        <v>38</v>
      </c>
      <c r="AY16" s="1670"/>
      <c r="AZ16" s="1674"/>
      <c r="BA16" s="1090">
        <v>0.6875</v>
      </c>
      <c r="BB16" s="1090">
        <v>0</v>
      </c>
      <c r="BC16" s="1092">
        <v>0.625</v>
      </c>
      <c r="BD16" s="1092">
        <v>0.94444444444444442</v>
      </c>
      <c r="BE16" s="1135">
        <v>0.625</v>
      </c>
      <c r="BF16" s="1005">
        <v>0.94444444444444442</v>
      </c>
      <c r="BG16" s="1677"/>
      <c r="BH16" s="1678"/>
      <c r="BI16" s="1671"/>
      <c r="BJ16" s="1678"/>
      <c r="BK16" s="1671"/>
      <c r="BL16" s="1678"/>
      <c r="BM16" s="1098" t="s">
        <v>106</v>
      </c>
      <c r="BN16" s="1128" t="s">
        <v>38</v>
      </c>
      <c r="BO16" s="1143"/>
      <c r="BP16" s="1090"/>
      <c r="BQ16" s="1090"/>
      <c r="BR16" s="1090"/>
      <c r="BS16" s="1092"/>
      <c r="BT16" s="1092"/>
      <c r="BU16" s="1135"/>
      <c r="BV16" s="1005"/>
      <c r="BW16" s="1244"/>
      <c r="BX16" s="1005"/>
      <c r="BY16" s="1090"/>
      <c r="BZ16" s="1005"/>
      <c r="CA16" s="1090"/>
      <c r="CB16" s="1005"/>
    </row>
    <row r="17" spans="1:80" x14ac:dyDescent="0.45">
      <c r="A17" s="1321" t="s">
        <v>107</v>
      </c>
      <c r="B17" s="1432" t="s">
        <v>38</v>
      </c>
      <c r="C17" s="1244">
        <v>0.6875</v>
      </c>
      <c r="D17" s="1090">
        <v>0.96527777777777779</v>
      </c>
      <c r="E17" s="1145"/>
      <c r="F17" s="1145"/>
      <c r="G17" s="1092">
        <v>0.6875</v>
      </c>
      <c r="H17" s="1092">
        <v>0</v>
      </c>
      <c r="I17" s="1005">
        <v>0.6875</v>
      </c>
      <c r="J17" s="1005">
        <v>0</v>
      </c>
      <c r="K17" s="1145"/>
      <c r="L17" s="1104"/>
      <c r="M17" s="1145"/>
      <c r="N17" s="1104"/>
      <c r="O17" s="1145"/>
      <c r="P17" s="1328"/>
      <c r="Q17" s="1098" t="s">
        <v>107</v>
      </c>
      <c r="R17" s="1128" t="s">
        <v>38</v>
      </c>
      <c r="S17" s="1464"/>
      <c r="T17" s="1213"/>
      <c r="U17" s="1090">
        <v>0.6875</v>
      </c>
      <c r="V17" s="1090">
        <v>1</v>
      </c>
      <c r="W17" s="1308">
        <v>0.66666666666666663</v>
      </c>
      <c r="X17" s="1308">
        <v>0.97916666666666663</v>
      </c>
      <c r="Y17" s="1308">
        <v>0.67708333333333337</v>
      </c>
      <c r="Z17" s="1469">
        <v>0.98958333333333337</v>
      </c>
      <c r="AA17" s="1284"/>
      <c r="AB17" s="1104"/>
      <c r="AC17" s="1261">
        <v>0.72916666666666663</v>
      </c>
      <c r="AD17" s="1262">
        <v>0</v>
      </c>
      <c r="AE17" s="1145"/>
      <c r="AF17" s="1104"/>
      <c r="AG17" s="1098" t="s">
        <v>107</v>
      </c>
      <c r="AH17" s="1128" t="s">
        <v>38</v>
      </c>
      <c r="AI17" s="1143">
        <v>0.67708333333333337</v>
      </c>
      <c r="AJ17" s="1090">
        <v>0.98958333333333337</v>
      </c>
      <c r="AK17" s="1090">
        <v>0.67708333333333337</v>
      </c>
      <c r="AL17" s="1090">
        <v>0.98958333333333337</v>
      </c>
      <c r="AM17" s="1284"/>
      <c r="AN17" s="1104"/>
      <c r="AO17" s="1005">
        <v>0.58333333333333337</v>
      </c>
      <c r="AP17" s="1005">
        <v>0.90972222222222221</v>
      </c>
      <c r="AQ17" s="1284"/>
      <c r="AR17" s="1104"/>
      <c r="AS17" s="1145"/>
      <c r="AT17" s="1104"/>
      <c r="AU17" s="1145"/>
      <c r="AV17" s="1104"/>
      <c r="AW17" s="1098" t="s">
        <v>107</v>
      </c>
      <c r="AX17" s="1128" t="s">
        <v>38</v>
      </c>
      <c r="AY17" s="1670"/>
      <c r="AZ17" s="1671"/>
      <c r="BA17" s="1090">
        <v>0.6875</v>
      </c>
      <c r="BB17" s="1090">
        <v>0</v>
      </c>
      <c r="BC17" s="1244">
        <v>0.66666666666666663</v>
      </c>
      <c r="BD17" s="1005">
        <v>0.97916666666666663</v>
      </c>
      <c r="BE17" s="1005">
        <v>0.66666666666666663</v>
      </c>
      <c r="BF17" s="1005">
        <v>0.97916666666666663</v>
      </c>
      <c r="BG17" s="1677"/>
      <c r="BH17" s="1678"/>
      <c r="BI17" s="1671"/>
      <c r="BJ17" s="1678"/>
      <c r="BK17" s="1671"/>
      <c r="BL17" s="1678"/>
      <c r="BM17" s="1098" t="s">
        <v>107</v>
      </c>
      <c r="BN17" s="1128" t="s">
        <v>38</v>
      </c>
      <c r="BO17" s="1143"/>
      <c r="BP17" s="1090"/>
      <c r="BQ17" s="1090"/>
      <c r="BR17" s="1090"/>
      <c r="BS17" s="1244"/>
      <c r="BT17" s="1005"/>
      <c r="BU17" s="1005"/>
      <c r="BV17" s="1005"/>
      <c r="BW17" s="1244"/>
      <c r="BX17" s="1005"/>
      <c r="BY17" s="1090"/>
      <c r="BZ17" s="1005"/>
      <c r="CA17" s="1090"/>
      <c r="CB17" s="1005"/>
    </row>
    <row r="18" spans="1:80" x14ac:dyDescent="0.45">
      <c r="A18" s="1322" t="s">
        <v>101</v>
      </c>
      <c r="B18" s="1433" t="s">
        <v>38</v>
      </c>
      <c r="C18" s="1284"/>
      <c r="D18" s="1145"/>
      <c r="E18" s="1090">
        <v>0.45833333333333331</v>
      </c>
      <c r="F18" s="1090">
        <v>0.79166666666666663</v>
      </c>
      <c r="G18" s="1092">
        <v>0.54166666666666663</v>
      </c>
      <c r="H18" s="1092">
        <v>0.875</v>
      </c>
      <c r="I18" s="1309">
        <v>0.54166666666666663</v>
      </c>
      <c r="J18" s="1309">
        <v>0.875</v>
      </c>
      <c r="K18" s="1145"/>
      <c r="L18" s="1104"/>
      <c r="M18" s="1145"/>
      <c r="N18" s="1104"/>
      <c r="O18" s="1090">
        <v>0.72916666666666663</v>
      </c>
      <c r="P18" s="1327">
        <v>0</v>
      </c>
      <c r="Q18" s="1167" t="s">
        <v>108</v>
      </c>
      <c r="R18" s="1238" t="s">
        <v>38</v>
      </c>
      <c r="S18" s="1210"/>
      <c r="T18" s="1145"/>
      <c r="U18" s="1261">
        <v>0.45833333333333331</v>
      </c>
      <c r="V18" s="1261">
        <v>0.79166666666666663</v>
      </c>
      <c r="W18" s="1090">
        <v>0.54166666666666663</v>
      </c>
      <c r="X18" s="1090">
        <v>0.875</v>
      </c>
      <c r="Y18" s="1332">
        <v>0.54166666666666663</v>
      </c>
      <c r="Z18" s="1501">
        <v>0.875</v>
      </c>
      <c r="AA18" s="1284"/>
      <c r="AB18" s="1104"/>
      <c r="AC18" s="1145"/>
      <c r="AD18" s="1145"/>
      <c r="AE18" s="1145"/>
      <c r="AF18" s="1145"/>
      <c r="AG18" s="1167" t="s">
        <v>108</v>
      </c>
      <c r="AH18" s="1238" t="s">
        <v>38</v>
      </c>
      <c r="AI18" s="1143">
        <v>0.67708333333333337</v>
      </c>
      <c r="AJ18" s="1090">
        <v>0.98958333333333337</v>
      </c>
      <c r="AK18" s="1090">
        <v>0.67708333333333337</v>
      </c>
      <c r="AL18" s="1090">
        <v>0.98958333333333337</v>
      </c>
      <c r="AM18" s="1261">
        <v>0.72916666666666663</v>
      </c>
      <c r="AN18" s="1261">
        <v>0</v>
      </c>
      <c r="AO18" s="1481">
        <v>0.67708333333333337</v>
      </c>
      <c r="AP18" s="1090">
        <v>0.98958333333333337</v>
      </c>
      <c r="AQ18" s="1284"/>
      <c r="AR18" s="1104"/>
      <c r="AS18" s="1145"/>
      <c r="AT18" s="1145"/>
      <c r="AU18" s="1145"/>
      <c r="AV18" s="1145"/>
      <c r="AW18" s="1167" t="s">
        <v>108</v>
      </c>
      <c r="AX18" s="1238" t="s">
        <v>38</v>
      </c>
      <c r="AY18" s="1143">
        <v>0.64583333333333337</v>
      </c>
      <c r="AZ18" s="1090">
        <v>0.96527777777777779</v>
      </c>
      <c r="BA18" s="1671"/>
      <c r="BB18" s="1671"/>
      <c r="BC18" s="1090">
        <v>0.58333333333333337</v>
      </c>
      <c r="BD18" s="1090">
        <v>0.90972222222222221</v>
      </c>
      <c r="BE18" s="1481">
        <v>0.58333333333333337</v>
      </c>
      <c r="BF18" s="1090">
        <v>0.90972222222222221</v>
      </c>
      <c r="BG18" s="1677"/>
      <c r="BH18" s="1678"/>
      <c r="BI18" s="1671"/>
      <c r="BJ18" s="1671"/>
      <c r="BK18" s="1671"/>
      <c r="BL18" s="1671"/>
      <c r="BM18" s="1167" t="s">
        <v>108</v>
      </c>
      <c r="BN18" s="1238" t="s">
        <v>38</v>
      </c>
      <c r="BO18" s="1143"/>
      <c r="BP18" s="1090"/>
      <c r="BQ18" s="1090"/>
      <c r="BR18" s="1090"/>
      <c r="BS18" s="1090"/>
      <c r="BT18" s="1090"/>
      <c r="BU18" s="1481"/>
      <c r="BV18" s="1090"/>
      <c r="BW18" s="1244"/>
      <c r="BX18" s="1005"/>
      <c r="BY18" s="1090"/>
      <c r="BZ18" s="1090"/>
      <c r="CA18" s="1090"/>
      <c r="CB18" s="1090"/>
    </row>
    <row r="19" spans="1:80" x14ac:dyDescent="0.45">
      <c r="A19" s="1427" t="s">
        <v>108</v>
      </c>
      <c r="B19" s="1433" t="s">
        <v>38</v>
      </c>
      <c r="C19" s="1244">
        <v>0.58333333333333337</v>
      </c>
      <c r="D19" s="1090">
        <v>0.90972222222222221</v>
      </c>
      <c r="E19" s="1145"/>
      <c r="F19" s="1145"/>
      <c r="G19" s="1090">
        <v>0.625</v>
      </c>
      <c r="H19" s="1090">
        <v>0.94444444444444442</v>
      </c>
      <c r="I19" s="1092">
        <v>0.54166666666666663</v>
      </c>
      <c r="J19" s="1092">
        <v>0.875</v>
      </c>
      <c r="K19" s="1145"/>
      <c r="L19" s="1145"/>
      <c r="M19" s="1145"/>
      <c r="N19" s="1145"/>
      <c r="O19" s="1145"/>
      <c r="P19" s="1404"/>
      <c r="Q19" s="1167" t="s">
        <v>109</v>
      </c>
      <c r="R19" s="1238" t="s">
        <v>38</v>
      </c>
      <c r="S19" s="1210"/>
      <c r="T19" s="1145"/>
      <c r="U19" s="1261">
        <v>0.45833333333333331</v>
      </c>
      <c r="V19" s="1261">
        <v>0.79166666666666663</v>
      </c>
      <c r="W19" s="1090">
        <v>0.64583333333333337</v>
      </c>
      <c r="X19" s="1090">
        <v>0.96527777777777779</v>
      </c>
      <c r="Y19" s="1090">
        <v>0.58333333333333337</v>
      </c>
      <c r="Z19" s="1502">
        <v>0.90972222222222221</v>
      </c>
      <c r="AA19" s="1284"/>
      <c r="AB19" s="1104"/>
      <c r="AC19" s="1145"/>
      <c r="AD19" s="1145"/>
      <c r="AE19" s="1145"/>
      <c r="AF19" s="1145"/>
      <c r="AG19" s="1167" t="s">
        <v>109</v>
      </c>
      <c r="AH19" s="1238" t="s">
        <v>38</v>
      </c>
      <c r="AI19" s="1143">
        <v>0.67708333333333337</v>
      </c>
      <c r="AJ19" s="1090">
        <v>0.98958333333333337</v>
      </c>
      <c r="AK19" s="1090">
        <v>0.67708333333333337</v>
      </c>
      <c r="AL19" s="1090">
        <v>0.98958333333333337</v>
      </c>
      <c r="AM19" s="1261">
        <v>0.72916666666666663</v>
      </c>
      <c r="AN19" s="1261">
        <v>0</v>
      </c>
      <c r="AO19" s="1481">
        <v>0.67708333333333337</v>
      </c>
      <c r="AP19" s="1090">
        <v>0.98958333333333337</v>
      </c>
      <c r="AQ19" s="1284"/>
      <c r="AR19" s="1104"/>
      <c r="AS19" s="1145"/>
      <c r="AT19" s="1145"/>
      <c r="AU19" s="1145"/>
      <c r="AV19" s="1145"/>
      <c r="AW19" s="1167" t="s">
        <v>109</v>
      </c>
      <c r="AX19" s="1238" t="s">
        <v>38</v>
      </c>
      <c r="AY19" s="1670"/>
      <c r="AZ19" s="1671"/>
      <c r="BA19" s="1090">
        <v>0.64583333333333337</v>
      </c>
      <c r="BB19" s="1090">
        <v>0.96527777777777779</v>
      </c>
      <c r="BC19" s="1090">
        <v>0.64583333333333337</v>
      </c>
      <c r="BD19" s="1090">
        <v>0.96527777777777779</v>
      </c>
      <c r="BE19" s="1481">
        <v>0.64583333333333337</v>
      </c>
      <c r="BF19" s="1090">
        <v>0.96527777777777779</v>
      </c>
      <c r="BG19" s="1677"/>
      <c r="BH19" s="1678"/>
      <c r="BI19" s="1671"/>
      <c r="BJ19" s="1671"/>
      <c r="BK19" s="1671"/>
      <c r="BL19" s="1671"/>
      <c r="BM19" s="1167" t="s">
        <v>109</v>
      </c>
      <c r="BN19" s="1238" t="s">
        <v>38</v>
      </c>
      <c r="BO19" s="1143"/>
      <c r="BP19" s="1090"/>
      <c r="BQ19" s="1090"/>
      <c r="BR19" s="1090"/>
      <c r="BS19" s="1090"/>
      <c r="BT19" s="1090"/>
      <c r="BU19" s="1481"/>
      <c r="BV19" s="1090"/>
      <c r="BW19" s="1244"/>
      <c r="BX19" s="1005"/>
      <c r="BY19" s="1090"/>
      <c r="BZ19" s="1090"/>
      <c r="CA19" s="1090"/>
      <c r="CB19" s="1090"/>
    </row>
    <row r="20" spans="1:80" x14ac:dyDescent="0.45">
      <c r="A20" s="1427" t="s">
        <v>109</v>
      </c>
      <c r="B20" s="1433" t="s">
        <v>38</v>
      </c>
      <c r="C20" s="1284"/>
      <c r="D20" s="1145"/>
      <c r="E20" s="1090">
        <v>0.67708333333333337</v>
      </c>
      <c r="F20" s="1090">
        <v>0.98958333333333337</v>
      </c>
      <c r="G20" s="1332">
        <v>0.64583333333333337</v>
      </c>
      <c r="H20" s="1332">
        <v>0.96527777777777779</v>
      </c>
      <c r="I20" s="1090">
        <v>0.64583333333333337</v>
      </c>
      <c r="J20" s="1090">
        <v>0.96527777777777779</v>
      </c>
      <c r="K20" s="1145"/>
      <c r="L20" s="1145"/>
      <c r="M20" s="1145"/>
      <c r="N20" s="1145"/>
      <c r="O20" s="1145"/>
      <c r="P20" s="1404"/>
      <c r="Q20" s="1165" t="s">
        <v>110</v>
      </c>
      <c r="R20" s="1238" t="s">
        <v>38</v>
      </c>
      <c r="S20" s="1143">
        <v>0.54166666666666663</v>
      </c>
      <c r="T20" s="1090">
        <v>0.875</v>
      </c>
      <c r="U20" s="1261">
        <v>0.45833333333333331</v>
      </c>
      <c r="V20" s="1261">
        <v>0.75</v>
      </c>
      <c r="W20" s="1090">
        <v>0.66666666666666663</v>
      </c>
      <c r="X20" s="1090">
        <v>0.97916666666666663</v>
      </c>
      <c r="Y20" s="1090">
        <v>0.66666666666666663</v>
      </c>
      <c r="Z20" s="1502">
        <v>0.97916666666666663</v>
      </c>
      <c r="AA20" s="1284"/>
      <c r="AB20" s="1145"/>
      <c r="AC20" s="1145"/>
      <c r="AD20" s="1145"/>
      <c r="AE20" s="1145"/>
      <c r="AF20" s="1145"/>
      <c r="AG20" s="1165" t="s">
        <v>110</v>
      </c>
      <c r="AH20" s="1238" t="s">
        <v>38</v>
      </c>
      <c r="AI20" s="1143">
        <v>0.58333333333333337</v>
      </c>
      <c r="AJ20" s="1090">
        <v>0.90972222222222221</v>
      </c>
      <c r="AK20" s="1090">
        <v>0.58333333333333337</v>
      </c>
      <c r="AL20" s="1090">
        <v>0.90972222222222221</v>
      </c>
      <c r="AM20" s="1261">
        <v>0.58333333333333337</v>
      </c>
      <c r="AN20" s="1261">
        <v>0.875</v>
      </c>
      <c r="AO20" s="1481">
        <v>0.54166666666666663</v>
      </c>
      <c r="AP20" s="1090">
        <v>0.875</v>
      </c>
      <c r="AQ20" s="1284"/>
      <c r="AR20" s="1145"/>
      <c r="AS20" s="1145"/>
      <c r="AT20" s="1145"/>
      <c r="AU20" s="1145"/>
      <c r="AV20" s="1145"/>
      <c r="AW20" s="1165" t="s">
        <v>110</v>
      </c>
      <c r="AX20" s="1238" t="s">
        <v>38</v>
      </c>
      <c r="AY20" s="1143">
        <v>0.67708333333333337</v>
      </c>
      <c r="AZ20" s="1090">
        <v>0.98958333333333337</v>
      </c>
      <c r="BA20" s="1671"/>
      <c r="BB20" s="1671"/>
      <c r="BC20" s="1090">
        <v>0.58333333333333337</v>
      </c>
      <c r="BD20" s="1090">
        <v>0.90972222222222221</v>
      </c>
      <c r="BE20" s="1481">
        <v>0.58333333333333337</v>
      </c>
      <c r="BF20" s="1090">
        <v>0.90972222222222221</v>
      </c>
      <c r="BG20" s="1677"/>
      <c r="BH20" s="1671"/>
      <c r="BI20" s="1671"/>
      <c r="BJ20" s="1671"/>
      <c r="BK20" s="1671"/>
      <c r="BL20" s="1671"/>
      <c r="BM20" s="1165" t="s">
        <v>110</v>
      </c>
      <c r="BN20" s="1238" t="s">
        <v>38</v>
      </c>
      <c r="BO20" s="1143"/>
      <c r="BP20" s="1090"/>
      <c r="BQ20" s="1090"/>
      <c r="BR20" s="1090"/>
      <c r="BS20" s="1090"/>
      <c r="BT20" s="1090"/>
      <c r="BU20" s="1481"/>
      <c r="BV20" s="1090"/>
      <c r="BW20" s="1244"/>
      <c r="BX20" s="1090"/>
      <c r="BY20" s="1090"/>
      <c r="BZ20" s="1090"/>
      <c r="CA20" s="1090"/>
      <c r="CB20" s="1090"/>
    </row>
    <row r="21" spans="1:80" x14ac:dyDescent="0.45">
      <c r="A21" s="1322" t="s">
        <v>110</v>
      </c>
      <c r="B21" s="1433" t="s">
        <v>38</v>
      </c>
      <c r="C21" s="1429">
        <v>0.45833333333333331</v>
      </c>
      <c r="D21" s="1261">
        <v>0.75</v>
      </c>
      <c r="E21" s="1090">
        <v>0.66666666666666663</v>
      </c>
      <c r="F21" s="1090">
        <v>0.97916666666666663</v>
      </c>
      <c r="G21" s="1090">
        <v>0.64583333333333337</v>
      </c>
      <c r="H21" s="1090">
        <v>0.96527777777777779</v>
      </c>
      <c r="I21" s="1090">
        <v>0.64583333333333337</v>
      </c>
      <c r="J21" s="1090">
        <v>0.96527777777777779</v>
      </c>
      <c r="K21" s="1145"/>
      <c r="L21" s="1145"/>
      <c r="M21" s="1145"/>
      <c r="N21" s="1145"/>
      <c r="O21" s="1145"/>
      <c r="P21" s="1404"/>
      <c r="Q21" s="1165" t="s">
        <v>111</v>
      </c>
      <c r="R21" s="1238" t="s">
        <v>38</v>
      </c>
      <c r="S21" s="1210"/>
      <c r="T21" s="1145"/>
      <c r="U21" s="1261">
        <v>0.45833333333333331</v>
      </c>
      <c r="V21" s="1261">
        <v>0.79166666666666663</v>
      </c>
      <c r="W21" s="1090">
        <v>0.54166666666666663</v>
      </c>
      <c r="X21" s="1090">
        <v>0.875</v>
      </c>
      <c r="Y21" s="1332">
        <v>0.54166666666666663</v>
      </c>
      <c r="Z21" s="1501">
        <v>0.875</v>
      </c>
      <c r="AA21" s="1284"/>
      <c r="AB21" s="1145"/>
      <c r="AC21" s="1145"/>
      <c r="AD21" s="1145"/>
      <c r="AE21" s="1145"/>
      <c r="AF21" s="1145"/>
      <c r="AG21" s="1165" t="s">
        <v>111</v>
      </c>
      <c r="AH21" s="1238" t="s">
        <v>38</v>
      </c>
      <c r="AI21" s="1532">
        <v>0.58333333333333337</v>
      </c>
      <c r="AJ21" s="1307">
        <v>0.90972222222222221</v>
      </c>
      <c r="AK21" s="1307">
        <v>0.58333333333333337</v>
      </c>
      <c r="AL21" s="1307">
        <v>0.90972222222222221</v>
      </c>
      <c r="AM21" s="1261">
        <v>0.58333333333333337</v>
      </c>
      <c r="AN21" s="1261">
        <v>0.875</v>
      </c>
      <c r="AO21" s="1533">
        <v>0.54166666666666663</v>
      </c>
      <c r="AP21" s="1438">
        <v>0.875</v>
      </c>
      <c r="AQ21" s="1284"/>
      <c r="AR21" s="1145"/>
      <c r="AS21" s="1145"/>
      <c r="AT21" s="1145"/>
      <c r="AU21" s="1145"/>
      <c r="AV21" s="1145"/>
      <c r="AW21" s="1165" t="s">
        <v>111</v>
      </c>
      <c r="AX21" s="1238" t="s">
        <v>38</v>
      </c>
      <c r="AY21" s="1670"/>
      <c r="AZ21" s="1671"/>
      <c r="BA21" s="1090">
        <v>0.67708333333333337</v>
      </c>
      <c r="BB21" s="1090">
        <v>0.98958333333333337</v>
      </c>
      <c r="BC21" s="1090">
        <v>0.67708333333333337</v>
      </c>
      <c r="BD21" s="1090">
        <v>0.98958333333333337</v>
      </c>
      <c r="BE21" s="1481">
        <v>0.67708333333333337</v>
      </c>
      <c r="BF21" s="1090">
        <v>0.98958333333333337</v>
      </c>
      <c r="BG21" s="1677"/>
      <c r="BH21" s="1671"/>
      <c r="BI21" s="1671"/>
      <c r="BJ21" s="1671"/>
      <c r="BK21" s="1671"/>
      <c r="BL21" s="1671"/>
      <c r="BM21" s="1165" t="s">
        <v>111</v>
      </c>
      <c r="BN21" s="1238" t="s">
        <v>38</v>
      </c>
      <c r="BO21" s="1143"/>
      <c r="BP21" s="1090"/>
      <c r="BQ21" s="1090"/>
      <c r="BR21" s="1090"/>
      <c r="BS21" s="1090"/>
      <c r="BT21" s="1090"/>
      <c r="BU21" s="1481"/>
      <c r="BV21" s="1090"/>
      <c r="BW21" s="1244"/>
      <c r="BX21" s="1090"/>
      <c r="BY21" s="1090"/>
      <c r="BZ21" s="1090"/>
      <c r="CA21" s="1090"/>
      <c r="CB21" s="1090"/>
    </row>
    <row r="22" spans="1:80" x14ac:dyDescent="0.45">
      <c r="A22" s="1322" t="s">
        <v>111</v>
      </c>
      <c r="B22" s="1433" t="s">
        <v>38</v>
      </c>
      <c r="C22" s="1429">
        <v>0.45833333333333331</v>
      </c>
      <c r="D22" s="1261">
        <v>0.79166666666666663</v>
      </c>
      <c r="E22" s="1213"/>
      <c r="F22" s="1213"/>
      <c r="G22" s="1332">
        <v>0.58333333333333337</v>
      </c>
      <c r="H22" s="1332">
        <v>0.90972222222222221</v>
      </c>
      <c r="I22" s="1332">
        <v>0.54166666666666663</v>
      </c>
      <c r="J22" s="1332">
        <v>0.875</v>
      </c>
      <c r="K22" s="1145"/>
      <c r="L22" s="1145"/>
      <c r="M22" s="1145"/>
      <c r="N22" s="1145"/>
      <c r="O22" s="1145"/>
      <c r="P22" s="1404"/>
      <c r="Q22" s="1165" t="s">
        <v>112</v>
      </c>
      <c r="R22" s="1238" t="s">
        <v>38</v>
      </c>
      <c r="S22" s="1210"/>
      <c r="T22" s="1145"/>
      <c r="U22" s="1261">
        <v>0.45833333333333331</v>
      </c>
      <c r="V22" s="1261">
        <v>0.79166666666666663</v>
      </c>
      <c r="W22" s="1090">
        <v>0.67708333333333337</v>
      </c>
      <c r="X22" s="1090">
        <v>0.98958333333333337</v>
      </c>
      <c r="Y22" s="1090">
        <v>0.67708333333333337</v>
      </c>
      <c r="Z22" s="1502">
        <v>0.98958333333333337</v>
      </c>
      <c r="AA22" s="1284"/>
      <c r="AB22" s="1145"/>
      <c r="AC22" s="1145"/>
      <c r="AD22" s="1145"/>
      <c r="AE22" s="1145"/>
      <c r="AF22" s="1145"/>
      <c r="AG22" s="1165" t="s">
        <v>112</v>
      </c>
      <c r="AH22" s="1238" t="s">
        <v>38</v>
      </c>
      <c r="AI22" s="1143">
        <v>0.54166666666666663</v>
      </c>
      <c r="AJ22" s="1090">
        <v>0.875</v>
      </c>
      <c r="AK22" s="1090">
        <v>0.54166666666666663</v>
      </c>
      <c r="AL22" s="1090">
        <v>0.875</v>
      </c>
      <c r="AM22" s="1261">
        <v>0.54166666666666663</v>
      </c>
      <c r="AN22" s="1261">
        <v>0.83333333333333337</v>
      </c>
      <c r="AO22" s="1481">
        <v>0.54166666666666663</v>
      </c>
      <c r="AP22" s="1090">
        <v>0.875</v>
      </c>
      <c r="AQ22" s="1284"/>
      <c r="AR22" s="1145"/>
      <c r="AS22" s="1145"/>
      <c r="AT22" s="1145"/>
      <c r="AU22" s="1145"/>
      <c r="AV22" s="1145"/>
      <c r="AW22" s="1165" t="s">
        <v>112</v>
      </c>
      <c r="AX22" s="1238" t="s">
        <v>38</v>
      </c>
      <c r="AY22" s="1143">
        <v>0.66666666666666663</v>
      </c>
      <c r="AZ22" s="1090">
        <v>0.97916666666666663</v>
      </c>
      <c r="BA22" s="1671"/>
      <c r="BB22" s="1671"/>
      <c r="BC22" s="1090">
        <v>0.67708333333333337</v>
      </c>
      <c r="BD22" s="1090">
        <v>0.98958333333333337</v>
      </c>
      <c r="BE22" s="1481">
        <v>0.67708333333333337</v>
      </c>
      <c r="BF22" s="1090">
        <v>0.98958333333333337</v>
      </c>
      <c r="BG22" s="1677"/>
      <c r="BH22" s="1671"/>
      <c r="BI22" s="1671"/>
      <c r="BJ22" s="1671"/>
      <c r="BK22" s="1671"/>
      <c r="BL22" s="1671"/>
      <c r="BM22" s="1165" t="s">
        <v>112</v>
      </c>
      <c r="BN22" s="1238" t="s">
        <v>38</v>
      </c>
      <c r="BO22" s="1143"/>
      <c r="BP22" s="1090"/>
      <c r="BQ22" s="1090"/>
      <c r="BR22" s="1090"/>
      <c r="BS22" s="1090"/>
      <c r="BT22" s="1090"/>
      <c r="BU22" s="1481"/>
      <c r="BV22" s="1090"/>
      <c r="BW22" s="1244"/>
      <c r="BX22" s="1090"/>
      <c r="BY22" s="1090"/>
      <c r="BZ22" s="1090"/>
      <c r="CA22" s="1090"/>
      <c r="CB22" s="1090"/>
    </row>
    <row r="23" spans="1:80" x14ac:dyDescent="0.45">
      <c r="A23" s="1322" t="s">
        <v>112</v>
      </c>
      <c r="B23" s="1433" t="s">
        <v>38</v>
      </c>
      <c r="C23" s="1429">
        <v>0.45833333333333331</v>
      </c>
      <c r="D23" s="1261">
        <v>0.75</v>
      </c>
      <c r="E23" s="1090">
        <v>0.67708333333333337</v>
      </c>
      <c r="F23" s="1090">
        <v>0.98958333333333337</v>
      </c>
      <c r="G23" s="1090">
        <v>0.625</v>
      </c>
      <c r="H23" s="1090">
        <v>0.94444444444444442</v>
      </c>
      <c r="I23" s="1090">
        <v>0.54166666666666663</v>
      </c>
      <c r="J23" s="1090">
        <v>0.875</v>
      </c>
      <c r="K23" s="1145"/>
      <c r="L23" s="1145"/>
      <c r="M23" s="1145"/>
      <c r="N23" s="1145"/>
      <c r="O23" s="1145"/>
      <c r="P23" s="1404"/>
      <c r="Q23" s="1165" t="s">
        <v>113</v>
      </c>
      <c r="R23" s="1238" t="s">
        <v>38</v>
      </c>
      <c r="S23" s="1210"/>
      <c r="T23" s="1145"/>
      <c r="U23" s="1261">
        <v>0.45833333333333331</v>
      </c>
      <c r="V23" s="1261">
        <v>0.79166666666666663</v>
      </c>
      <c r="W23" s="1307">
        <v>0.625</v>
      </c>
      <c r="X23" s="1307">
        <v>0.94444444444444442</v>
      </c>
      <c r="Y23" s="1090">
        <v>0.58333333333333337</v>
      </c>
      <c r="Z23" s="1502">
        <v>0.90972222222222221</v>
      </c>
      <c r="AA23" s="1284"/>
      <c r="AB23" s="1145"/>
      <c r="AC23" s="1145"/>
      <c r="AD23" s="1145"/>
      <c r="AE23" s="1145"/>
      <c r="AF23" s="1145"/>
      <c r="AG23" s="1165" t="s">
        <v>113</v>
      </c>
      <c r="AH23" s="1238" t="s">
        <v>38</v>
      </c>
      <c r="AI23" s="1143">
        <v>0.67708333333333337</v>
      </c>
      <c r="AJ23" s="1090">
        <v>0.98958333333333337</v>
      </c>
      <c r="AK23" s="1090">
        <v>0.67708333333333337</v>
      </c>
      <c r="AL23" s="1090">
        <v>0.98958333333333337</v>
      </c>
      <c r="AM23" s="1261">
        <v>0.71875</v>
      </c>
      <c r="AN23" s="1261">
        <v>0.98958333333333337</v>
      </c>
      <c r="AO23" s="1481">
        <v>0.67708333333333337</v>
      </c>
      <c r="AP23" s="1090">
        <v>0.98958333333333337</v>
      </c>
      <c r="AQ23" s="1284"/>
      <c r="AR23" s="1145"/>
      <c r="AS23" s="1145"/>
      <c r="AT23" s="1145"/>
      <c r="AU23" s="1145"/>
      <c r="AV23" s="1145"/>
      <c r="AW23" s="1165" t="s">
        <v>113</v>
      </c>
      <c r="AX23" s="1238" t="s">
        <v>38</v>
      </c>
      <c r="AY23" s="1670"/>
      <c r="AZ23" s="1671"/>
      <c r="BA23" s="1090">
        <v>0.66666666666666663</v>
      </c>
      <c r="BB23" s="1090">
        <v>0.97916666666666663</v>
      </c>
      <c r="BC23" s="1090">
        <v>0.6875</v>
      </c>
      <c r="BD23" s="1090">
        <v>0</v>
      </c>
      <c r="BE23" s="1481">
        <v>0.54166666666666663</v>
      </c>
      <c r="BF23" s="1090">
        <v>0.875</v>
      </c>
      <c r="BG23" s="1677"/>
      <c r="BH23" s="1671"/>
      <c r="BI23" s="1671"/>
      <c r="BJ23" s="1671"/>
      <c r="BK23" s="1671"/>
      <c r="BL23" s="1671"/>
      <c r="BM23" s="1165" t="s">
        <v>113</v>
      </c>
      <c r="BN23" s="1238" t="s">
        <v>38</v>
      </c>
      <c r="BO23" s="1143"/>
      <c r="BP23" s="1090"/>
      <c r="BQ23" s="1090"/>
      <c r="BR23" s="1090"/>
      <c r="BS23" s="1090"/>
      <c r="BT23" s="1090"/>
      <c r="BU23" s="1481"/>
      <c r="BV23" s="1090"/>
      <c r="BW23" s="1244"/>
      <c r="BX23" s="1090"/>
      <c r="BY23" s="1090"/>
      <c r="BZ23" s="1090"/>
      <c r="CA23" s="1090"/>
      <c r="CB23" s="1090"/>
    </row>
    <row r="24" spans="1:80" x14ac:dyDescent="0.45">
      <c r="A24" s="1322" t="s">
        <v>113</v>
      </c>
      <c r="B24" s="1433" t="s">
        <v>38</v>
      </c>
      <c r="C24" s="1429">
        <v>0.45833333333333331</v>
      </c>
      <c r="D24" s="1261">
        <v>0.75</v>
      </c>
      <c r="E24" s="1090">
        <v>0.64583333333333337</v>
      </c>
      <c r="F24" s="1090">
        <v>0.96527777777777779</v>
      </c>
      <c r="G24" s="1307">
        <v>0.66666666666666663</v>
      </c>
      <c r="H24" s="1307">
        <v>0.97916666666666663</v>
      </c>
      <c r="I24" s="1307">
        <v>0.54166666666666663</v>
      </c>
      <c r="J24" s="1307">
        <v>0.875</v>
      </c>
      <c r="K24" s="1145"/>
      <c r="L24" s="1145"/>
      <c r="M24" s="1145"/>
      <c r="N24" s="1145"/>
      <c r="O24" s="1145"/>
      <c r="P24" s="1404"/>
      <c r="Q24" s="1165" t="s">
        <v>114</v>
      </c>
      <c r="R24" s="1238" t="s">
        <v>38</v>
      </c>
      <c r="S24" s="1210"/>
      <c r="T24" s="1145"/>
      <c r="U24" s="1261">
        <v>0.45833333333333331</v>
      </c>
      <c r="V24" s="1261">
        <v>0.79166666666666663</v>
      </c>
      <c r="W24" s="1332">
        <v>0.64583333333333337</v>
      </c>
      <c r="X24" s="1332">
        <v>0.96527777777777779</v>
      </c>
      <c r="Y24" s="1307">
        <v>0.54166666666666663</v>
      </c>
      <c r="Z24" s="1503">
        <v>0.875</v>
      </c>
      <c r="AA24" s="1284"/>
      <c r="AB24" s="1145"/>
      <c r="AC24" s="1145"/>
      <c r="AD24" s="1145"/>
      <c r="AE24" s="1145"/>
      <c r="AF24" s="1145"/>
      <c r="AG24" s="1165" t="s">
        <v>114</v>
      </c>
      <c r="AH24" s="1238" t="s">
        <v>38</v>
      </c>
      <c r="AI24" s="1143">
        <v>0.54166666666666663</v>
      </c>
      <c r="AJ24" s="1090">
        <v>0.875</v>
      </c>
      <c r="AK24" s="1090">
        <v>0.54166666666666663</v>
      </c>
      <c r="AL24" s="1090">
        <v>0.875</v>
      </c>
      <c r="AM24" s="1261">
        <v>0.54166666666666663</v>
      </c>
      <c r="AN24" s="1261">
        <v>0.83333333333333337</v>
      </c>
      <c r="AO24" s="1481">
        <v>0.54166666666666663</v>
      </c>
      <c r="AP24" s="1090">
        <v>0.875</v>
      </c>
      <c r="AQ24" s="1284"/>
      <c r="AR24" s="1145"/>
      <c r="AS24" s="1145"/>
      <c r="AT24" s="1145"/>
      <c r="AU24" s="1145"/>
      <c r="AV24" s="1145"/>
      <c r="AW24" s="1165" t="s">
        <v>114</v>
      </c>
      <c r="AX24" s="1238" t="s">
        <v>38</v>
      </c>
      <c r="AY24" s="1670"/>
      <c r="AZ24" s="1671"/>
      <c r="BA24" s="1090">
        <v>0.66666666666666663</v>
      </c>
      <c r="BB24" s="1090">
        <v>0.97916666666666663</v>
      </c>
      <c r="BC24" s="1090">
        <v>0.6875</v>
      </c>
      <c r="BD24" s="1090">
        <v>0</v>
      </c>
      <c r="BE24" s="1481">
        <v>0.54166666666666663</v>
      </c>
      <c r="BF24" s="1090">
        <v>0.875</v>
      </c>
      <c r="BG24" s="1677"/>
      <c r="BH24" s="1671"/>
      <c r="BI24" s="1671"/>
      <c r="BJ24" s="1671"/>
      <c r="BK24" s="1671"/>
      <c r="BL24" s="1671"/>
      <c r="BM24" s="1165" t="s">
        <v>114</v>
      </c>
      <c r="BN24" s="1238" t="s">
        <v>38</v>
      </c>
      <c r="BO24" s="1143"/>
      <c r="BP24" s="1090"/>
      <c r="BQ24" s="1090"/>
      <c r="BR24" s="1090"/>
      <c r="BS24" s="1090"/>
      <c r="BT24" s="1090"/>
      <c r="BU24" s="1481"/>
      <c r="BV24" s="1090"/>
      <c r="BW24" s="1244"/>
      <c r="BX24" s="1090"/>
      <c r="BY24" s="1090"/>
      <c r="BZ24" s="1090"/>
      <c r="CA24" s="1090"/>
      <c r="CB24" s="1090"/>
    </row>
    <row r="25" spans="1:80" x14ac:dyDescent="0.45">
      <c r="A25" s="1322" t="s">
        <v>114</v>
      </c>
      <c r="B25" s="1433" t="s">
        <v>38</v>
      </c>
      <c r="C25" s="1429">
        <v>0.45833333333333331</v>
      </c>
      <c r="D25" s="1261">
        <v>0.79166666666666663</v>
      </c>
      <c r="E25" s="1213"/>
      <c r="F25" s="1213"/>
      <c r="G25" s="1090">
        <v>0.66666666666666663</v>
      </c>
      <c r="H25" s="1090">
        <v>0.97916666666666663</v>
      </c>
      <c r="I25" s="1090">
        <v>0.66666666666666663</v>
      </c>
      <c r="J25" s="1090">
        <v>0.97916666666666663</v>
      </c>
      <c r="K25" s="1145"/>
      <c r="L25" s="1145"/>
      <c r="M25" s="1145"/>
      <c r="N25" s="1145"/>
      <c r="O25" s="1145"/>
      <c r="P25" s="1404"/>
      <c r="Q25" s="1165" t="s">
        <v>115</v>
      </c>
      <c r="R25" s="1238" t="s">
        <v>38</v>
      </c>
      <c r="S25" s="1210"/>
      <c r="T25" s="1145"/>
      <c r="U25" s="1261">
        <v>0.45833333333333331</v>
      </c>
      <c r="V25" s="1261">
        <v>0.79166666666666663</v>
      </c>
      <c r="W25" s="1090">
        <v>0.54166666666666663</v>
      </c>
      <c r="X25" s="1090">
        <v>0.875</v>
      </c>
      <c r="Y25" s="1090">
        <v>0.64583333333333337</v>
      </c>
      <c r="Z25" s="1502">
        <v>0.96527777777777779</v>
      </c>
      <c r="AA25" s="1284"/>
      <c r="AB25" s="1145"/>
      <c r="AC25" s="1145"/>
      <c r="AD25" s="1145"/>
      <c r="AE25" s="1145"/>
      <c r="AF25" s="1145"/>
      <c r="AG25" s="1165" t="s">
        <v>115</v>
      </c>
      <c r="AH25" s="1238" t="s">
        <v>38</v>
      </c>
      <c r="AI25" s="1143">
        <v>0.54166666666666663</v>
      </c>
      <c r="AJ25" s="1090">
        <v>0.875</v>
      </c>
      <c r="AK25" s="1090">
        <v>0.54166666666666663</v>
      </c>
      <c r="AL25" s="1090">
        <v>0.875</v>
      </c>
      <c r="AM25" s="1261">
        <v>0.54166666666666663</v>
      </c>
      <c r="AN25" s="1261">
        <v>0.83333333333333337</v>
      </c>
      <c r="AO25" s="1481">
        <v>0.54166666666666663</v>
      </c>
      <c r="AP25" s="1090">
        <v>0.875</v>
      </c>
      <c r="AQ25" s="1284"/>
      <c r="AR25" s="1145"/>
      <c r="AS25" s="1145"/>
      <c r="AT25" s="1145"/>
      <c r="AU25" s="1145"/>
      <c r="AV25" s="1145"/>
      <c r="AW25" s="1165" t="s">
        <v>115</v>
      </c>
      <c r="AX25" s="1238" t="s">
        <v>38</v>
      </c>
      <c r="AY25" s="1670"/>
      <c r="AZ25" s="1671"/>
      <c r="BA25" s="1090">
        <v>0.64583333333333337</v>
      </c>
      <c r="BB25" s="1090">
        <v>0.96527777777777779</v>
      </c>
      <c r="BC25" s="1090">
        <v>0.66666666666666663</v>
      </c>
      <c r="BD25" s="1090">
        <v>0.97916666666666663</v>
      </c>
      <c r="BE25" s="1481">
        <v>0.66666666666666663</v>
      </c>
      <c r="BF25" s="1090">
        <v>0.97916666666666663</v>
      </c>
      <c r="BG25" s="1677"/>
      <c r="BH25" s="1671"/>
      <c r="BI25" s="1671"/>
      <c r="BJ25" s="1671"/>
      <c r="BK25" s="1671"/>
      <c r="BL25" s="1671"/>
      <c r="BM25" s="1165" t="s">
        <v>115</v>
      </c>
      <c r="BN25" s="1238" t="s">
        <v>38</v>
      </c>
      <c r="BO25" s="1143"/>
      <c r="BP25" s="1090"/>
      <c r="BQ25" s="1090"/>
      <c r="BR25" s="1090"/>
      <c r="BS25" s="1090"/>
      <c r="BT25" s="1090"/>
      <c r="BU25" s="1481"/>
      <c r="BV25" s="1090"/>
      <c r="BW25" s="1244"/>
      <c r="BX25" s="1090"/>
      <c r="BY25" s="1090"/>
      <c r="BZ25" s="1090"/>
      <c r="CA25" s="1090"/>
      <c r="CB25" s="1090"/>
    </row>
    <row r="26" spans="1:80" x14ac:dyDescent="0.45">
      <c r="A26" s="1322" t="s">
        <v>115</v>
      </c>
      <c r="B26" s="1433" t="s">
        <v>38</v>
      </c>
      <c r="C26" s="1429">
        <v>0.45833333333333331</v>
      </c>
      <c r="D26" s="1261">
        <v>0.79166666666666663</v>
      </c>
      <c r="E26" s="1213"/>
      <c r="F26" s="1213"/>
      <c r="G26" s="1090">
        <v>0.67708333333333337</v>
      </c>
      <c r="H26" s="1090">
        <v>0.98958333333333337</v>
      </c>
      <c r="I26" s="1090">
        <v>0.67708333333333337</v>
      </c>
      <c r="J26" s="1090">
        <v>0.98958333333333337</v>
      </c>
      <c r="K26" s="1145"/>
      <c r="L26" s="1145"/>
      <c r="M26" s="1145"/>
      <c r="N26" s="1145"/>
      <c r="O26" s="1145"/>
      <c r="P26" s="1404"/>
      <c r="Q26" s="1165" t="s">
        <v>116</v>
      </c>
      <c r="R26" s="1238" t="s">
        <v>38</v>
      </c>
      <c r="S26" s="1210"/>
      <c r="T26" s="1145"/>
      <c r="U26" s="1261">
        <v>0.45833333333333331</v>
      </c>
      <c r="V26" s="1261">
        <v>0.79166666666666663</v>
      </c>
      <c r="W26" s="1090">
        <v>0.58333333333333337</v>
      </c>
      <c r="X26" s="1090">
        <v>0.90972222222222221</v>
      </c>
      <c r="Y26" s="1090">
        <v>0.58333333333333337</v>
      </c>
      <c r="Z26" s="1502">
        <v>0.90972222222222221</v>
      </c>
      <c r="AA26" s="1284"/>
      <c r="AB26" s="1145"/>
      <c r="AC26" s="1145"/>
      <c r="AD26" s="1145"/>
      <c r="AE26" s="1145"/>
      <c r="AF26" s="1145"/>
      <c r="AG26" s="1165" t="s">
        <v>116</v>
      </c>
      <c r="AH26" s="1238" t="s">
        <v>38</v>
      </c>
      <c r="AI26" s="1143">
        <v>0.67708333333333337</v>
      </c>
      <c r="AJ26" s="1090">
        <v>0.98958333333333337</v>
      </c>
      <c r="AK26" s="1090">
        <v>0.67708333333333337</v>
      </c>
      <c r="AL26" s="1090">
        <v>0.98958333333333337</v>
      </c>
      <c r="AM26" s="1090">
        <v>0.67708333333333337</v>
      </c>
      <c r="AN26" s="1090">
        <v>0.98958333333333337</v>
      </c>
      <c r="AO26" s="1525">
        <v>0.71875</v>
      </c>
      <c r="AP26" s="1261">
        <v>0.98958333333333337</v>
      </c>
      <c r="AQ26" s="1284"/>
      <c r="AR26" s="1145"/>
      <c r="AS26" s="1145"/>
      <c r="AT26" s="1145"/>
      <c r="AU26" s="1145"/>
      <c r="AV26" s="1145"/>
      <c r="AW26" s="1165" t="s">
        <v>116</v>
      </c>
      <c r="AX26" s="1238" t="s">
        <v>38</v>
      </c>
      <c r="AY26" s="1143">
        <v>0.64583333333333337</v>
      </c>
      <c r="AZ26" s="1090">
        <v>0.96527777777777779</v>
      </c>
      <c r="BA26" s="1671"/>
      <c r="BB26" s="1671"/>
      <c r="BC26" s="1307">
        <v>0.64583333333333337</v>
      </c>
      <c r="BD26" s="1307">
        <v>0.96527777777777779</v>
      </c>
      <c r="BE26" s="1533">
        <v>0.64583333333333337</v>
      </c>
      <c r="BF26" s="1307">
        <v>0.96527777777777779</v>
      </c>
      <c r="BG26" s="1677"/>
      <c r="BH26" s="1671"/>
      <c r="BI26" s="1671"/>
      <c r="BJ26" s="1671"/>
      <c r="BK26" s="1671"/>
      <c r="BL26" s="1671"/>
      <c r="BM26" s="1165" t="s">
        <v>116</v>
      </c>
      <c r="BN26" s="1238" t="s">
        <v>38</v>
      </c>
      <c r="BO26" s="1143"/>
      <c r="BP26" s="1090"/>
      <c r="BQ26" s="1090"/>
      <c r="BR26" s="1090"/>
      <c r="BS26" s="1090"/>
      <c r="BT26" s="1090"/>
      <c r="BU26" s="1481"/>
      <c r="BV26" s="1090"/>
      <c r="BW26" s="1244"/>
      <c r="BX26" s="1090"/>
      <c r="BY26" s="1090"/>
      <c r="BZ26" s="1090"/>
      <c r="CA26" s="1090"/>
      <c r="CB26" s="1090"/>
    </row>
    <row r="27" spans="1:80" x14ac:dyDescent="0.45">
      <c r="A27" s="1322" t="s">
        <v>116</v>
      </c>
      <c r="B27" s="1433" t="s">
        <v>38</v>
      </c>
      <c r="C27" s="1429">
        <v>0.45833333333333331</v>
      </c>
      <c r="D27" s="1261">
        <v>0.79166666666666663</v>
      </c>
      <c r="E27" s="1145"/>
      <c r="F27" s="1145"/>
      <c r="G27" s="1090">
        <v>0.67708333333333337</v>
      </c>
      <c r="H27" s="1090">
        <v>0.98958333333333337</v>
      </c>
      <c r="I27" s="1090">
        <v>0.67708333333333337</v>
      </c>
      <c r="J27" s="1090">
        <v>0.98958333333333337</v>
      </c>
      <c r="K27" s="1145"/>
      <c r="L27" s="1145"/>
      <c r="M27" s="1145"/>
      <c r="N27" s="1145"/>
      <c r="O27" s="1145"/>
      <c r="P27" s="1404"/>
      <c r="Q27" s="1165" t="s">
        <v>117</v>
      </c>
      <c r="R27" s="1238" t="s">
        <v>38</v>
      </c>
      <c r="S27" s="1210"/>
      <c r="T27" s="1145"/>
      <c r="U27" s="1261">
        <v>0.45833333333333331</v>
      </c>
      <c r="V27" s="1261">
        <v>0.79166666666666663</v>
      </c>
      <c r="W27" s="1090">
        <v>0.6875</v>
      </c>
      <c r="X27" s="1090">
        <v>0</v>
      </c>
      <c r="Y27" s="1090">
        <v>0.6875</v>
      </c>
      <c r="Z27" s="1502">
        <v>0</v>
      </c>
      <c r="AA27" s="1284"/>
      <c r="AB27" s="1145"/>
      <c r="AC27" s="1145"/>
      <c r="AD27" s="1145"/>
      <c r="AE27" s="1145"/>
      <c r="AF27" s="1145"/>
      <c r="AG27" s="1165" t="s">
        <v>117</v>
      </c>
      <c r="AH27" s="1238" t="s">
        <v>38</v>
      </c>
      <c r="AI27" s="1143">
        <v>0.64583333333333337</v>
      </c>
      <c r="AJ27" s="1090">
        <v>0.96527777777777779</v>
      </c>
      <c r="AK27" s="1090">
        <v>0.64583333333333337</v>
      </c>
      <c r="AL27" s="1090">
        <v>0.96527777777777779</v>
      </c>
      <c r="AM27" s="1438">
        <v>0.6875</v>
      </c>
      <c r="AN27" s="1438">
        <v>0.96527777777777779</v>
      </c>
      <c r="AO27" s="1683">
        <v>0.64583333333333337</v>
      </c>
      <c r="AP27" s="1438">
        <v>0.96527777777777779</v>
      </c>
      <c r="AQ27" s="1284"/>
      <c r="AR27" s="1145"/>
      <c r="AS27" s="1145"/>
      <c r="AT27" s="1145"/>
      <c r="AU27" s="1145"/>
      <c r="AV27" s="1145"/>
      <c r="AW27" s="1165" t="s">
        <v>117</v>
      </c>
      <c r="AX27" s="1238" t="s">
        <v>38</v>
      </c>
      <c r="AY27" s="1670"/>
      <c r="AZ27" s="1671"/>
      <c r="BA27" s="1090">
        <v>0.625</v>
      </c>
      <c r="BB27" s="1090">
        <v>0.94444444444444442</v>
      </c>
      <c r="BC27" s="1090">
        <v>0.54166666666666663</v>
      </c>
      <c r="BD27" s="1090">
        <v>0.875</v>
      </c>
      <c r="BE27" s="1481">
        <v>0.54166666666666663</v>
      </c>
      <c r="BF27" s="1090">
        <v>0.875</v>
      </c>
      <c r="BG27" s="1677"/>
      <c r="BH27" s="1671"/>
      <c r="BI27" s="1671"/>
      <c r="BJ27" s="1671"/>
      <c r="BK27" s="1671"/>
      <c r="BL27" s="1671"/>
      <c r="BM27" s="1165" t="s">
        <v>117</v>
      </c>
      <c r="BN27" s="1238" t="s">
        <v>38</v>
      </c>
      <c r="BO27" s="1143"/>
      <c r="BP27" s="1090"/>
      <c r="BQ27" s="1090"/>
      <c r="BR27" s="1090"/>
      <c r="BS27" s="1090"/>
      <c r="BT27" s="1090"/>
      <c r="BU27" s="1481"/>
      <c r="BV27" s="1090"/>
      <c r="BW27" s="1244"/>
      <c r="BX27" s="1090"/>
      <c r="BY27" s="1090"/>
      <c r="BZ27" s="1090"/>
      <c r="CA27" s="1090"/>
      <c r="CB27" s="1090"/>
    </row>
    <row r="28" spans="1:80" x14ac:dyDescent="0.45">
      <c r="A28" s="1322" t="s">
        <v>117</v>
      </c>
      <c r="B28" s="1433" t="s">
        <v>38</v>
      </c>
      <c r="C28" s="1429">
        <v>0.45833333333333331</v>
      </c>
      <c r="D28" s="1261">
        <v>0.79166666666666663</v>
      </c>
      <c r="E28" s="1213"/>
      <c r="F28" s="1213"/>
      <c r="G28" s="1090">
        <v>0.6875</v>
      </c>
      <c r="H28" s="1090">
        <v>0</v>
      </c>
      <c r="I28" s="1090">
        <v>0.6875</v>
      </c>
      <c r="J28" s="1090">
        <v>0</v>
      </c>
      <c r="K28" s="1145"/>
      <c r="L28" s="1145"/>
      <c r="M28" s="1145"/>
      <c r="N28" s="1145"/>
      <c r="O28" s="1145"/>
      <c r="P28" s="1404"/>
      <c r="Q28" s="1165" t="s">
        <v>118</v>
      </c>
      <c r="R28" s="1238" t="s">
        <v>38</v>
      </c>
      <c r="S28" s="1210"/>
      <c r="T28" s="1145"/>
      <c r="U28" s="1261">
        <v>0.45833333333333331</v>
      </c>
      <c r="V28" s="1261">
        <v>0.79166666666666663</v>
      </c>
      <c r="W28" s="1090">
        <v>0.58333333333333337</v>
      </c>
      <c r="X28" s="1090">
        <v>0.90972222222222221</v>
      </c>
      <c r="Y28" s="1090">
        <v>0.58333333333333337</v>
      </c>
      <c r="Z28" s="1502">
        <v>0.90972222222222221</v>
      </c>
      <c r="AA28" s="1284"/>
      <c r="AB28" s="1145"/>
      <c r="AC28" s="1145"/>
      <c r="AD28" s="1145"/>
      <c r="AE28" s="1145"/>
      <c r="AF28" s="1145"/>
      <c r="AG28" s="1165" t="s">
        <v>118</v>
      </c>
      <c r="AH28" s="1238" t="s">
        <v>38</v>
      </c>
      <c r="AI28" s="1507">
        <v>0.64583333333333337</v>
      </c>
      <c r="AJ28" s="1122">
        <v>0.96527777777777779</v>
      </c>
      <c r="AK28" s="1122">
        <v>0.64583333333333337</v>
      </c>
      <c r="AL28" s="1122">
        <v>0.96527777777777779</v>
      </c>
      <c r="AM28" s="1548">
        <v>0.6875</v>
      </c>
      <c r="AN28" s="1548">
        <v>0.96527777777777779</v>
      </c>
      <c r="AO28" s="1681">
        <v>0.64583333333333337</v>
      </c>
      <c r="AP28" s="1682">
        <v>0.96527777777777779</v>
      </c>
      <c r="AQ28" s="1550"/>
      <c r="AR28" s="1551"/>
      <c r="AS28" s="1551"/>
      <c r="AT28" s="1551"/>
      <c r="AU28" s="1551"/>
      <c r="AV28" s="1551"/>
      <c r="AW28" s="1165" t="s">
        <v>118</v>
      </c>
      <c r="AX28" s="1238" t="s">
        <v>38</v>
      </c>
      <c r="AY28" s="1507">
        <v>0.625</v>
      </c>
      <c r="AZ28" s="1122">
        <v>0.94444444444444442</v>
      </c>
      <c r="BA28" s="1673"/>
      <c r="BB28" s="1673"/>
      <c r="BC28" s="1122">
        <v>0.625</v>
      </c>
      <c r="BD28" s="1122">
        <v>0.94444444444444442</v>
      </c>
      <c r="BE28" s="1549">
        <v>0.625</v>
      </c>
      <c r="BF28" s="1122">
        <v>0.94444444444444442</v>
      </c>
      <c r="BG28" s="1679"/>
      <c r="BH28" s="1673"/>
      <c r="BI28" s="1673"/>
      <c r="BJ28" s="1673"/>
      <c r="BK28" s="1673"/>
      <c r="BL28" s="1673"/>
      <c r="BM28" s="1165" t="s">
        <v>118</v>
      </c>
      <c r="BN28" s="1238" t="s">
        <v>38</v>
      </c>
      <c r="BO28" s="1507"/>
      <c r="BP28" s="1122"/>
      <c r="BQ28" s="1122"/>
      <c r="BR28" s="1122"/>
      <c r="BS28" s="1122"/>
      <c r="BT28" s="1122"/>
      <c r="BU28" s="1549"/>
      <c r="BV28" s="1122"/>
      <c r="BW28" s="1166"/>
      <c r="BX28" s="1122"/>
      <c r="BY28" s="1122"/>
      <c r="BZ28" s="1122"/>
      <c r="CA28" s="1122"/>
      <c r="CB28" s="1122"/>
    </row>
    <row r="29" spans="1:80" ht="29.25" thickBot="1" x14ac:dyDescent="0.5">
      <c r="A29" s="1322" t="s">
        <v>118</v>
      </c>
      <c r="B29" s="1433" t="s">
        <v>38</v>
      </c>
      <c r="C29" s="1429">
        <v>0.45833333333333331</v>
      </c>
      <c r="D29" s="1261">
        <v>0.79166666666666663</v>
      </c>
      <c r="E29" s="1145"/>
      <c r="F29" s="1145"/>
      <c r="G29" s="1090">
        <v>0.6875</v>
      </c>
      <c r="H29" s="1090">
        <v>0</v>
      </c>
      <c r="I29" s="1090">
        <v>0.6875</v>
      </c>
      <c r="J29" s="1090">
        <v>0</v>
      </c>
      <c r="K29" s="1145"/>
      <c r="L29" s="1145"/>
      <c r="M29" s="1145"/>
      <c r="N29" s="1145"/>
      <c r="O29" s="1145"/>
      <c r="P29" s="1404"/>
      <c r="Q29" s="1165" t="s">
        <v>119</v>
      </c>
      <c r="R29" s="1238" t="s">
        <v>38</v>
      </c>
      <c r="S29" s="1475">
        <v>0.58333333333333337</v>
      </c>
      <c r="T29" s="1476">
        <v>0.90972222222222221</v>
      </c>
      <c r="U29" s="1504">
        <v>0.45833333333333331</v>
      </c>
      <c r="V29" s="1504">
        <v>0.75</v>
      </c>
      <c r="W29" s="1476">
        <v>0.6875</v>
      </c>
      <c r="X29" s="1476">
        <v>0</v>
      </c>
      <c r="Y29" s="1476">
        <v>0.6875</v>
      </c>
      <c r="Z29" s="1505">
        <v>0</v>
      </c>
      <c r="AA29" s="1284"/>
      <c r="AB29" s="1145"/>
      <c r="AC29" s="1145"/>
      <c r="AD29" s="1145"/>
      <c r="AE29" s="1145"/>
      <c r="AF29" s="1145"/>
      <c r="AG29" s="1165" t="s">
        <v>119</v>
      </c>
      <c r="AH29" s="1559" t="s">
        <v>38</v>
      </c>
      <c r="AI29" s="1507">
        <v>0.54166666666666663</v>
      </c>
      <c r="AJ29" s="1122">
        <v>0.875</v>
      </c>
      <c r="AK29" s="1122">
        <v>0.54166666666666663</v>
      </c>
      <c r="AL29" s="1122">
        <v>0.875</v>
      </c>
      <c r="AM29" s="1548">
        <v>0.54166666666666663</v>
      </c>
      <c r="AN29" s="1548">
        <v>0.83333333333333337</v>
      </c>
      <c r="AO29" s="1549">
        <v>0.54166666666666663</v>
      </c>
      <c r="AP29" s="1122">
        <v>0.875</v>
      </c>
      <c r="AQ29" s="1550"/>
      <c r="AR29" s="1551"/>
      <c r="AS29" s="1551"/>
      <c r="AT29" s="1551"/>
      <c r="AU29" s="1551"/>
      <c r="AV29" s="1554"/>
      <c r="AW29" s="1165" t="s">
        <v>119</v>
      </c>
      <c r="AX29" s="1559" t="s">
        <v>38</v>
      </c>
      <c r="AY29" s="1507">
        <v>0.625</v>
      </c>
      <c r="AZ29" s="1122">
        <v>0.94444444444444442</v>
      </c>
      <c r="BA29" s="1673"/>
      <c r="BB29" s="1673"/>
      <c r="BC29" s="1122">
        <v>0.54166666666666663</v>
      </c>
      <c r="BD29" s="1122">
        <v>0.875</v>
      </c>
      <c r="BE29" s="1549">
        <v>0.54166666666666663</v>
      </c>
      <c r="BF29" s="1122">
        <v>0.875</v>
      </c>
      <c r="BG29" s="1679"/>
      <c r="BH29" s="1673"/>
      <c r="BI29" s="1673"/>
      <c r="BJ29" s="1673"/>
      <c r="BK29" s="1673"/>
      <c r="BL29" s="1680"/>
      <c r="BM29" s="1165" t="s">
        <v>119</v>
      </c>
      <c r="BN29" s="1559" t="s">
        <v>38</v>
      </c>
      <c r="BO29" s="1507"/>
      <c r="BP29" s="1122"/>
      <c r="BQ29" s="1122"/>
      <c r="BR29" s="1122"/>
      <c r="BS29" s="1122"/>
      <c r="BT29" s="1122"/>
      <c r="BU29" s="1549"/>
      <c r="BV29" s="1122"/>
      <c r="BW29" s="1166"/>
      <c r="BX29" s="1122"/>
      <c r="BY29" s="1122"/>
      <c r="BZ29" s="1122"/>
      <c r="CA29" s="1122"/>
      <c r="CB29" s="1660"/>
    </row>
    <row r="30" spans="1:80" ht="29.25" thickBot="1" x14ac:dyDescent="0.5">
      <c r="A30" s="1427" t="s">
        <v>119</v>
      </c>
      <c r="B30" s="1433" t="s">
        <v>38</v>
      </c>
      <c r="C30" s="1429">
        <v>0.45833333333333331</v>
      </c>
      <c r="D30" s="1261">
        <v>0.75</v>
      </c>
      <c r="E30" s="1090">
        <v>0.58333333333333337</v>
      </c>
      <c r="F30" s="1090">
        <v>0.90972222222222221</v>
      </c>
      <c r="G30" s="1090">
        <v>0.54166666666666663</v>
      </c>
      <c r="H30" s="1090">
        <v>0.875</v>
      </c>
      <c r="I30" s="1438">
        <v>0.54166666666666663</v>
      </c>
      <c r="J30" s="1438">
        <v>0.875</v>
      </c>
      <c r="K30" s="1145"/>
      <c r="L30" s="1145"/>
      <c r="M30" s="1145"/>
      <c r="N30" s="1145"/>
      <c r="O30" s="1145"/>
      <c r="P30" s="1404"/>
      <c r="Q30" s="1173" t="s">
        <v>120</v>
      </c>
      <c r="R30" s="1168" t="s">
        <v>38</v>
      </c>
      <c r="S30" s="1487" t="s">
        <v>121</v>
      </c>
      <c r="T30" s="1488" t="s">
        <v>121</v>
      </c>
      <c r="U30" s="1487" t="s">
        <v>121</v>
      </c>
      <c r="V30" s="1488" t="s">
        <v>121</v>
      </c>
      <c r="W30" s="1487" t="s">
        <v>121</v>
      </c>
      <c r="X30" s="1488" t="s">
        <v>121</v>
      </c>
      <c r="Y30" s="1487" t="s">
        <v>121</v>
      </c>
      <c r="Z30" s="1488" t="s">
        <v>121</v>
      </c>
      <c r="AA30" s="1487" t="s">
        <v>121</v>
      </c>
      <c r="AB30" s="1488" t="s">
        <v>121</v>
      </c>
      <c r="AC30" s="1487" t="s">
        <v>121</v>
      </c>
      <c r="AD30" s="1488" t="s">
        <v>121</v>
      </c>
      <c r="AE30" s="1487" t="s">
        <v>121</v>
      </c>
      <c r="AF30" s="1489" t="s">
        <v>121</v>
      </c>
      <c r="AG30" s="1562" t="s">
        <v>120</v>
      </c>
      <c r="AH30" s="1563" t="s">
        <v>38</v>
      </c>
      <c r="AI30" s="1558" t="s">
        <v>121</v>
      </c>
      <c r="AJ30" s="1558" t="s">
        <v>121</v>
      </c>
      <c r="AK30" s="1556" t="s">
        <v>121</v>
      </c>
      <c r="AL30" s="1555" t="s">
        <v>121</v>
      </c>
      <c r="AM30" s="1556" t="s">
        <v>121</v>
      </c>
      <c r="AN30" s="1555" t="s">
        <v>121</v>
      </c>
      <c r="AO30" s="1556" t="s">
        <v>121</v>
      </c>
      <c r="AP30" s="1555" t="s">
        <v>121</v>
      </c>
      <c r="AQ30" s="1556" t="s">
        <v>121</v>
      </c>
      <c r="AR30" s="1555" t="s">
        <v>121</v>
      </c>
      <c r="AS30" s="1556" t="s">
        <v>121</v>
      </c>
      <c r="AT30" s="1555" t="s">
        <v>121</v>
      </c>
      <c r="AU30" s="1556" t="s">
        <v>121</v>
      </c>
      <c r="AV30" s="1557" t="s">
        <v>121</v>
      </c>
      <c r="AW30" s="1562" t="s">
        <v>120</v>
      </c>
      <c r="AX30" s="1563" t="s">
        <v>38</v>
      </c>
      <c r="AY30" s="1558" t="s">
        <v>121</v>
      </c>
      <c r="AZ30" s="1558" t="s">
        <v>121</v>
      </c>
      <c r="BA30" s="1556" t="s">
        <v>121</v>
      </c>
      <c r="BB30" s="1555" t="s">
        <v>121</v>
      </c>
      <c r="BC30" s="1556" t="s">
        <v>121</v>
      </c>
      <c r="BD30" s="1555" t="s">
        <v>121</v>
      </c>
      <c r="BE30" s="1556" t="s">
        <v>121</v>
      </c>
      <c r="BF30" s="1555" t="s">
        <v>121</v>
      </c>
      <c r="BG30" s="1556" t="s">
        <v>121</v>
      </c>
      <c r="BH30" s="1555" t="s">
        <v>121</v>
      </c>
      <c r="BI30" s="1556" t="s">
        <v>121</v>
      </c>
      <c r="BJ30" s="1555" t="s">
        <v>121</v>
      </c>
      <c r="BK30" s="1556" t="s">
        <v>121</v>
      </c>
      <c r="BL30" s="1557" t="s">
        <v>121</v>
      </c>
      <c r="BM30" s="1562" t="s">
        <v>120</v>
      </c>
      <c r="BN30" s="1563" t="s">
        <v>38</v>
      </c>
      <c r="BO30" s="1558" t="s">
        <v>121</v>
      </c>
      <c r="BP30" s="1558" t="s">
        <v>121</v>
      </c>
      <c r="BQ30" s="1556" t="s">
        <v>121</v>
      </c>
      <c r="BR30" s="1555" t="s">
        <v>121</v>
      </c>
      <c r="BS30" s="1556" t="s">
        <v>121</v>
      </c>
      <c r="BT30" s="1555" t="s">
        <v>121</v>
      </c>
      <c r="BU30" s="1556" t="s">
        <v>121</v>
      </c>
      <c r="BV30" s="1555" t="s">
        <v>121</v>
      </c>
      <c r="BW30" s="1556" t="s">
        <v>121</v>
      </c>
      <c r="BX30" s="1555" t="s">
        <v>121</v>
      </c>
      <c r="BY30" s="1556" t="s">
        <v>121</v>
      </c>
      <c r="BZ30" s="1555" t="s">
        <v>121</v>
      </c>
      <c r="CA30" s="1556" t="s">
        <v>121</v>
      </c>
      <c r="CB30" s="1557" t="s">
        <v>121</v>
      </c>
    </row>
    <row r="31" spans="1:80" ht="29.25" hidden="1" customHeight="1" thickBot="1" x14ac:dyDescent="0.5">
      <c r="A31" s="1428" t="s">
        <v>120</v>
      </c>
      <c r="B31" s="1434" t="s">
        <v>38</v>
      </c>
      <c r="C31" s="1430" t="s">
        <v>121</v>
      </c>
      <c r="D31" s="1323" t="s">
        <v>121</v>
      </c>
      <c r="E31" s="1324" t="s">
        <v>121</v>
      </c>
      <c r="F31" s="1323" t="s">
        <v>121</v>
      </c>
      <c r="G31" s="1324" t="s">
        <v>121</v>
      </c>
      <c r="H31" s="1323" t="s">
        <v>121</v>
      </c>
      <c r="I31" s="1324" t="s">
        <v>121</v>
      </c>
      <c r="J31" s="1323" t="s">
        <v>121</v>
      </c>
      <c r="K31" s="1324" t="s">
        <v>121</v>
      </c>
      <c r="L31" s="1323" t="s">
        <v>121</v>
      </c>
      <c r="M31" s="1324" t="s">
        <v>121</v>
      </c>
      <c r="N31" s="1323" t="s">
        <v>121</v>
      </c>
      <c r="O31" s="1324" t="s">
        <v>121</v>
      </c>
      <c r="P31" s="1325" t="s">
        <v>121</v>
      </c>
      <c r="Q31" s="1173" t="s">
        <v>120</v>
      </c>
      <c r="R31" s="1168" t="s">
        <v>38</v>
      </c>
      <c r="S31" s="1175" t="s">
        <v>121</v>
      </c>
      <c r="T31" s="1176" t="s">
        <v>121</v>
      </c>
      <c r="U31" s="1175" t="s">
        <v>121</v>
      </c>
      <c r="V31" s="1176" t="s">
        <v>121</v>
      </c>
      <c r="W31" s="1175" t="s">
        <v>121</v>
      </c>
      <c r="X31" s="1176" t="s">
        <v>121</v>
      </c>
      <c r="Y31" s="1175" t="s">
        <v>121</v>
      </c>
      <c r="Z31" s="1176" t="s">
        <v>121</v>
      </c>
      <c r="AA31" s="1175" t="s">
        <v>121</v>
      </c>
      <c r="AB31" s="1176" t="s">
        <v>121</v>
      </c>
      <c r="AC31" s="1175" t="s">
        <v>121</v>
      </c>
      <c r="AD31" s="1176" t="s">
        <v>121</v>
      </c>
      <c r="AE31" s="1175" t="s">
        <v>121</v>
      </c>
      <c r="AF31" s="1221" t="s">
        <v>121</v>
      </c>
      <c r="AG31" s="1560" t="s">
        <v>120</v>
      </c>
      <c r="AH31" s="1561" t="s">
        <v>38</v>
      </c>
      <c r="AI31" s="1241" t="s">
        <v>121</v>
      </c>
      <c r="AJ31" s="1242" t="s">
        <v>121</v>
      </c>
      <c r="AK31" s="1243" t="s">
        <v>121</v>
      </c>
      <c r="AL31" s="1242" t="s">
        <v>121</v>
      </c>
      <c r="AM31" s="1243" t="s">
        <v>121</v>
      </c>
      <c r="AN31" s="1242" t="s">
        <v>121</v>
      </c>
      <c r="AO31" s="1243" t="s">
        <v>121</v>
      </c>
      <c r="AP31" s="1242" t="s">
        <v>121</v>
      </c>
      <c r="AQ31" s="1243" t="s">
        <v>121</v>
      </c>
      <c r="AR31" s="1242" t="s">
        <v>121</v>
      </c>
      <c r="AS31" s="1243" t="s">
        <v>121</v>
      </c>
      <c r="AT31" s="1242" t="s">
        <v>121</v>
      </c>
      <c r="AU31" s="1243" t="s">
        <v>121</v>
      </c>
      <c r="AV31" s="1317" t="s">
        <v>121</v>
      </c>
      <c r="AW31" s="1560" t="s">
        <v>120</v>
      </c>
      <c r="AX31" s="1561" t="s">
        <v>38</v>
      </c>
      <c r="AY31" s="1241" t="s">
        <v>121</v>
      </c>
      <c r="AZ31" s="1242" t="s">
        <v>121</v>
      </c>
      <c r="BA31" s="1243" t="s">
        <v>121</v>
      </c>
      <c r="BB31" s="1242" t="s">
        <v>121</v>
      </c>
      <c r="BC31" s="1243" t="s">
        <v>121</v>
      </c>
      <c r="BD31" s="1242" t="s">
        <v>121</v>
      </c>
      <c r="BE31" s="1243" t="s">
        <v>121</v>
      </c>
      <c r="BF31" s="1242" t="s">
        <v>121</v>
      </c>
      <c r="BG31" s="1243" t="s">
        <v>121</v>
      </c>
      <c r="BH31" s="1242" t="s">
        <v>121</v>
      </c>
      <c r="BI31" s="1243" t="s">
        <v>121</v>
      </c>
      <c r="BJ31" s="1242" t="s">
        <v>121</v>
      </c>
      <c r="BK31" s="1243" t="s">
        <v>121</v>
      </c>
      <c r="BL31" s="1317" t="s">
        <v>121</v>
      </c>
      <c r="BM31" s="1560" t="s">
        <v>120</v>
      </c>
      <c r="BN31" s="1561" t="s">
        <v>38</v>
      </c>
      <c r="BO31" s="1241" t="s">
        <v>121</v>
      </c>
      <c r="BP31" s="1242" t="s">
        <v>121</v>
      </c>
      <c r="BQ31" s="1243" t="s">
        <v>121</v>
      </c>
      <c r="BR31" s="1242" t="s">
        <v>121</v>
      </c>
      <c r="BS31" s="1243" t="s">
        <v>121</v>
      </c>
      <c r="BT31" s="1242" t="s">
        <v>121</v>
      </c>
      <c r="BU31" s="1243" t="s">
        <v>121</v>
      </c>
      <c r="BV31" s="1242" t="s">
        <v>121</v>
      </c>
      <c r="BW31" s="1243" t="s">
        <v>121</v>
      </c>
      <c r="BX31" s="1242" t="s">
        <v>121</v>
      </c>
      <c r="BY31" s="1243" t="s">
        <v>121</v>
      </c>
      <c r="BZ31" s="1242" t="s">
        <v>121</v>
      </c>
      <c r="CA31" s="1243" t="s">
        <v>121</v>
      </c>
      <c r="CB31" s="1317" t="s">
        <v>121</v>
      </c>
    </row>
    <row r="32" spans="1:80" x14ac:dyDescent="0.45">
      <c r="A32" s="1169"/>
      <c r="B32" s="1097"/>
      <c r="C32" s="1094"/>
      <c r="D32" s="1095"/>
      <c r="E32" s="1094"/>
      <c r="F32" s="1095"/>
      <c r="G32" s="1095"/>
      <c r="H32" s="1095"/>
      <c r="I32" s="1095"/>
      <c r="J32" s="1095"/>
      <c r="K32" s="1095"/>
      <c r="L32" s="1095"/>
      <c r="M32" s="1095"/>
      <c r="N32" s="1095"/>
      <c r="O32" s="1095"/>
      <c r="P32" s="1095"/>
      <c r="Q32" s="1096"/>
      <c r="R32" s="1097"/>
      <c r="S32" s="1094"/>
      <c r="T32" s="1095"/>
      <c r="U32" s="1094"/>
      <c r="V32" s="1095"/>
      <c r="W32" s="1095"/>
      <c r="X32" s="1095"/>
      <c r="Y32" s="1095"/>
      <c r="Z32" s="1095"/>
      <c r="AA32" s="1095"/>
      <c r="AB32" s="1095"/>
      <c r="AC32" s="1095"/>
      <c r="AD32" s="1095"/>
      <c r="AE32" s="1095"/>
      <c r="AF32" s="1095"/>
      <c r="AG32" s="1096"/>
      <c r="AH32" s="1097"/>
      <c r="AI32" s="1094"/>
      <c r="AJ32" s="1095"/>
      <c r="AK32" s="1094"/>
      <c r="AL32" s="1095"/>
      <c r="AM32" s="1095"/>
      <c r="AN32" s="1095"/>
      <c r="AO32" s="1095"/>
      <c r="AP32" s="1095"/>
      <c r="AQ32" s="1095"/>
      <c r="AR32" s="1095"/>
      <c r="AS32" s="1095"/>
      <c r="AT32" s="1095"/>
      <c r="AU32" s="1095"/>
      <c r="AV32" s="1095"/>
      <c r="AW32" s="1096"/>
      <c r="AX32" s="1097"/>
      <c r="AY32" s="1094"/>
      <c r="AZ32" s="1095"/>
      <c r="BA32" s="1094"/>
      <c r="BB32" s="1095"/>
      <c r="BC32" s="1095"/>
      <c r="BD32" s="1095"/>
      <c r="BE32" s="1095"/>
      <c r="BF32" s="1095"/>
      <c r="BG32" s="1095"/>
      <c r="BH32" s="1095"/>
      <c r="BI32" s="1095"/>
      <c r="BJ32" s="1095"/>
      <c r="BK32" s="1095"/>
      <c r="BL32" s="1095"/>
      <c r="BM32" s="1096"/>
      <c r="BN32" s="1097"/>
      <c r="BO32" s="1094"/>
      <c r="BP32" s="1095"/>
      <c r="BQ32" s="1094"/>
      <c r="BR32" s="1095"/>
      <c r="BS32" s="1095"/>
      <c r="BT32" s="1095"/>
      <c r="BU32" s="1095"/>
      <c r="BV32" s="1095"/>
      <c r="BW32" s="1095"/>
      <c r="BX32" s="1095"/>
      <c r="BY32" s="1095"/>
      <c r="BZ32" s="1095"/>
      <c r="CA32" s="1095"/>
      <c r="CB32" s="1095"/>
    </row>
    <row r="33" spans="1:80" x14ac:dyDescent="0.45">
      <c r="A33" s="1096"/>
      <c r="B33" s="1097"/>
      <c r="C33" s="1094"/>
      <c r="D33" s="1095"/>
      <c r="E33" s="1094"/>
      <c r="F33" s="1095"/>
      <c r="G33" s="1095"/>
      <c r="H33" s="1095"/>
      <c r="I33" s="1095"/>
      <c r="J33" s="1095"/>
      <c r="K33" s="1095"/>
      <c r="L33" s="1095"/>
      <c r="M33" s="1095"/>
      <c r="N33" s="1095"/>
      <c r="O33" s="1095"/>
      <c r="P33" s="1095"/>
      <c r="Q33" s="1096"/>
      <c r="R33" s="1097"/>
      <c r="S33" s="1094"/>
      <c r="T33" s="1095"/>
      <c r="U33" s="1094"/>
      <c r="V33" s="1095"/>
      <c r="W33" s="1095"/>
      <c r="X33" s="1095"/>
      <c r="Y33" s="1095"/>
      <c r="Z33" s="1095"/>
      <c r="AA33" s="1095"/>
      <c r="AB33" s="1095"/>
      <c r="AC33" s="1095"/>
      <c r="AD33" s="1095"/>
      <c r="AE33" s="1095"/>
      <c r="AF33" s="1095"/>
      <c r="AG33" s="1096"/>
      <c r="AH33" s="1097"/>
      <c r="AI33" s="1094"/>
      <c r="AJ33" s="1095"/>
      <c r="AK33" s="1094"/>
      <c r="AL33" s="1095"/>
      <c r="AM33" s="1201" t="s">
        <v>122</v>
      </c>
      <c r="AN33" s="1095"/>
      <c r="AO33" s="1095"/>
      <c r="AP33" s="1095"/>
      <c r="AQ33" s="1095"/>
      <c r="AR33" s="1095"/>
      <c r="AS33" s="1095"/>
      <c r="AT33" s="1095"/>
      <c r="AU33" s="1095"/>
      <c r="AV33" s="1095"/>
      <c r="AW33" s="1096"/>
      <c r="AX33" s="1097"/>
      <c r="AY33" s="1094"/>
      <c r="AZ33" s="1095"/>
      <c r="BA33" s="1094"/>
      <c r="BB33" s="1095"/>
      <c r="BC33" s="1201" t="s">
        <v>122</v>
      </c>
      <c r="BD33" s="1095"/>
      <c r="BE33" s="1095"/>
      <c r="BF33" s="1095"/>
      <c r="BG33" s="1095"/>
      <c r="BH33" s="1095"/>
      <c r="BI33" s="1095"/>
      <c r="BJ33" s="1095"/>
      <c r="BK33" s="1095"/>
      <c r="BL33" s="1095"/>
      <c r="BM33" s="1096"/>
      <c r="BN33" s="1097"/>
      <c r="BO33" s="1094"/>
      <c r="BP33" s="1095"/>
      <c r="BQ33" s="1094"/>
      <c r="BR33" s="1095"/>
      <c r="BS33" s="1201" t="s">
        <v>122</v>
      </c>
      <c r="BT33" s="1095"/>
      <c r="BU33" s="1095"/>
      <c r="BV33" s="1095"/>
      <c r="BW33" s="1095"/>
      <c r="BX33" s="1095"/>
      <c r="BY33" s="1095"/>
      <c r="BZ33" s="1095"/>
      <c r="CA33" s="1095"/>
      <c r="CB33" s="1095"/>
    </row>
    <row r="34" spans="1:80" x14ac:dyDescent="0.45">
      <c r="A34" s="1096"/>
      <c r="B34" s="1097"/>
      <c r="C34" s="1094"/>
      <c r="D34" s="1095"/>
      <c r="E34" s="1094"/>
      <c r="F34" s="1095"/>
      <c r="G34" s="1095"/>
      <c r="H34" s="1095"/>
      <c r="I34" s="1095"/>
      <c r="J34" s="1095"/>
      <c r="K34" s="1095"/>
      <c r="L34" s="1095"/>
      <c r="M34" s="1095"/>
      <c r="N34" s="1095"/>
      <c r="O34" s="1095"/>
      <c r="P34" s="1095"/>
      <c r="Q34" s="1096"/>
      <c r="R34" s="1097"/>
      <c r="S34" s="1094"/>
      <c r="T34" s="1095"/>
      <c r="U34" s="1094"/>
      <c r="V34" s="1095"/>
      <c r="W34" s="1259" t="s">
        <v>122</v>
      </c>
      <c r="X34" s="1095"/>
      <c r="Y34" s="1095"/>
      <c r="Z34" s="1095"/>
      <c r="AA34" s="1095"/>
      <c r="AB34" s="1095"/>
      <c r="AC34" s="1095"/>
      <c r="AD34" s="1095"/>
      <c r="AE34" s="1095"/>
      <c r="AF34" s="1095"/>
      <c r="AG34" s="1096"/>
      <c r="AH34" s="1097"/>
      <c r="AI34" s="1094"/>
      <c r="AJ34" s="1095"/>
      <c r="AK34" s="1094"/>
      <c r="AL34" s="1095"/>
      <c r="AM34" s="1302" t="s">
        <v>123</v>
      </c>
      <c r="AN34" s="1095"/>
      <c r="AO34" s="1095"/>
      <c r="AP34" s="1095"/>
      <c r="AQ34" s="1095"/>
      <c r="AR34" s="1095"/>
      <c r="AS34" s="1095"/>
      <c r="AT34" s="1095"/>
      <c r="AU34" s="1095"/>
      <c r="AV34" s="1095"/>
      <c r="AW34" s="1096"/>
      <c r="AX34" s="1097"/>
      <c r="AY34" s="1094"/>
      <c r="AZ34" s="1095"/>
      <c r="BA34" s="1094"/>
      <c r="BB34" s="1095"/>
      <c r="BC34" s="1302" t="s">
        <v>123</v>
      </c>
      <c r="BD34" s="1095"/>
      <c r="BE34" s="1095"/>
      <c r="BF34" s="1095"/>
      <c r="BG34" s="1095"/>
      <c r="BH34" s="1095"/>
      <c r="BI34" s="1095"/>
      <c r="BJ34" s="1095"/>
      <c r="BK34" s="1095"/>
      <c r="BL34" s="1095"/>
      <c r="BM34" s="1096"/>
      <c r="BN34" s="1097"/>
      <c r="BO34" s="1094"/>
      <c r="BP34" s="1095"/>
      <c r="BQ34" s="1094"/>
      <c r="BR34" s="1095"/>
      <c r="BS34" s="1302" t="s">
        <v>123</v>
      </c>
      <c r="BT34" s="1095"/>
      <c r="BU34" s="1095"/>
      <c r="BV34" s="1095"/>
      <c r="BW34" s="1095"/>
      <c r="BX34" s="1095"/>
      <c r="BY34" s="1095"/>
      <c r="BZ34" s="1095"/>
      <c r="CA34" s="1095"/>
      <c r="CB34" s="1095"/>
    </row>
    <row r="35" spans="1:80" x14ac:dyDescent="0.45">
      <c r="A35" s="1096"/>
      <c r="B35" s="1097"/>
      <c r="C35" s="1094"/>
      <c r="D35" s="1095"/>
      <c r="E35" s="1094"/>
      <c r="F35" s="1095"/>
      <c r="G35" s="1259" t="s">
        <v>122</v>
      </c>
      <c r="H35" s="1095"/>
      <c r="I35" s="1095"/>
      <c r="J35" s="1095"/>
      <c r="K35" s="1095"/>
      <c r="L35" s="1095"/>
      <c r="M35" s="1095"/>
      <c r="N35" s="1095"/>
      <c r="O35" s="1095"/>
      <c r="P35" s="1095"/>
      <c r="Q35" s="1096"/>
      <c r="R35" s="1097"/>
      <c r="S35" s="1094"/>
      <c r="T35" s="1095"/>
      <c r="U35" s="1094"/>
      <c r="V35" s="1095"/>
      <c r="W35" s="1301" t="s">
        <v>124</v>
      </c>
      <c r="X35" s="1095"/>
      <c r="Y35" s="1095"/>
      <c r="Z35" s="1095"/>
      <c r="AA35" s="1095"/>
      <c r="AB35" s="1095"/>
      <c r="AC35" s="1095"/>
      <c r="AD35" s="1095"/>
      <c r="AE35" s="1095"/>
      <c r="AF35" s="1095"/>
      <c r="AG35" s="1096"/>
      <c r="AH35" s="1097"/>
      <c r="AI35" s="1094"/>
      <c r="AJ35" s="1095"/>
      <c r="AK35" s="1094"/>
      <c r="AL35" s="1095"/>
      <c r="AM35" s="1306" t="s">
        <v>125</v>
      </c>
      <c r="AN35" s="1095"/>
      <c r="AO35" s="1095"/>
      <c r="AP35" s="1095"/>
      <c r="AQ35" s="1095"/>
      <c r="AR35" s="1095"/>
      <c r="AS35" s="1095"/>
      <c r="AT35" s="1095"/>
      <c r="AU35" s="1095"/>
      <c r="AV35" s="1095"/>
      <c r="AW35" s="1096"/>
      <c r="AX35" s="1097"/>
      <c r="AY35" s="1094"/>
      <c r="AZ35" s="1095"/>
      <c r="BA35" s="1094"/>
      <c r="BB35" s="1095"/>
      <c r="BC35" s="1306" t="s">
        <v>125</v>
      </c>
      <c r="BD35" s="1095"/>
      <c r="BE35" s="1095"/>
      <c r="BF35" s="1095"/>
      <c r="BG35" s="1095"/>
      <c r="BH35" s="1095"/>
      <c r="BI35" s="1095"/>
      <c r="BJ35" s="1095"/>
      <c r="BK35" s="1095"/>
      <c r="BL35" s="1095"/>
      <c r="BM35" s="1096"/>
      <c r="BN35" s="1097"/>
      <c r="BO35" s="1094"/>
      <c r="BP35" s="1095"/>
      <c r="BQ35" s="1094"/>
      <c r="BR35" s="1095"/>
      <c r="BS35" s="1306" t="s">
        <v>125</v>
      </c>
      <c r="BT35" s="1095"/>
      <c r="BU35" s="1095"/>
      <c r="BV35" s="1095"/>
      <c r="BW35" s="1095"/>
      <c r="BX35" s="1095"/>
      <c r="BY35" s="1095"/>
      <c r="BZ35" s="1095"/>
      <c r="CA35" s="1095"/>
      <c r="CB35" s="1095"/>
    </row>
    <row r="36" spans="1:80" x14ac:dyDescent="0.45">
      <c r="A36" s="1096"/>
      <c r="B36" s="1097"/>
      <c r="C36" s="1094"/>
      <c r="D36" s="1095"/>
      <c r="E36" s="1094"/>
      <c r="F36" s="1095"/>
      <c r="G36" s="1301" t="s">
        <v>124</v>
      </c>
      <c r="H36" s="1095"/>
      <c r="I36" s="1095"/>
      <c r="J36" s="1095"/>
      <c r="K36" s="1095"/>
      <c r="L36" s="1095"/>
      <c r="M36" s="1095"/>
      <c r="N36" s="1095"/>
      <c r="O36" s="1095"/>
      <c r="P36" s="1095"/>
      <c r="Q36" s="1096"/>
      <c r="R36" s="1097"/>
      <c r="S36" s="1094"/>
      <c r="T36" s="1095"/>
      <c r="U36" s="1094"/>
      <c r="V36" s="1095"/>
      <c r="W36" s="1302" t="s">
        <v>123</v>
      </c>
      <c r="X36" s="1095"/>
      <c r="Y36" s="1095"/>
      <c r="Z36" s="1095"/>
      <c r="AA36" s="1095"/>
      <c r="AB36" s="1095"/>
      <c r="AC36" s="1095"/>
      <c r="AD36" s="1095"/>
      <c r="AE36" s="1095"/>
      <c r="AF36" s="1095"/>
      <c r="AG36" s="1096"/>
      <c r="AH36" s="1097"/>
      <c r="AI36" s="1094"/>
      <c r="AJ36" s="1095"/>
      <c r="AK36" s="1094"/>
      <c r="AL36" s="1095"/>
      <c r="AM36" s="1095"/>
      <c r="AN36" s="1095"/>
      <c r="AO36" s="1095"/>
      <c r="AP36" s="1095"/>
      <c r="AQ36" s="1095"/>
      <c r="AR36" s="1095"/>
      <c r="AS36" s="1095"/>
      <c r="AT36" s="1095"/>
      <c r="AU36" s="1095"/>
      <c r="AV36" s="1095"/>
      <c r="AW36" s="1096"/>
      <c r="AX36" s="1097"/>
      <c r="AY36" s="1094"/>
      <c r="AZ36" s="1095"/>
      <c r="BA36" s="1094"/>
      <c r="BB36" s="1095"/>
      <c r="BC36" s="1095"/>
      <c r="BD36" s="1095"/>
      <c r="BE36" s="1095"/>
      <c r="BF36" s="1095"/>
      <c r="BG36" s="1095"/>
      <c r="BH36" s="1095"/>
      <c r="BI36" s="1095"/>
      <c r="BJ36" s="1095"/>
      <c r="BK36" s="1095"/>
      <c r="BL36" s="1095"/>
      <c r="BM36" s="1096"/>
      <c r="BN36" s="1097"/>
      <c r="BO36" s="1094"/>
      <c r="BP36" s="1095"/>
      <c r="BQ36" s="1094"/>
      <c r="BR36" s="1095"/>
      <c r="BS36" s="1095"/>
      <c r="BT36" s="1095"/>
      <c r="BU36" s="1095"/>
      <c r="BV36" s="1095"/>
      <c r="BW36" s="1095"/>
      <c r="BX36" s="1095"/>
      <c r="BY36" s="1095"/>
      <c r="BZ36" s="1095"/>
      <c r="CA36" s="1095"/>
      <c r="CB36" s="1095"/>
    </row>
    <row r="37" spans="1:80" x14ac:dyDescent="0.45">
      <c r="A37" s="1096"/>
      <c r="B37" s="1097"/>
      <c r="C37" s="1094"/>
      <c r="D37" s="1095"/>
      <c r="E37" s="1094"/>
      <c r="F37" s="1095"/>
      <c r="G37" s="1302" t="s">
        <v>123</v>
      </c>
      <c r="H37" s="1095"/>
      <c r="I37" s="1095"/>
      <c r="J37" s="1095"/>
      <c r="K37" s="1095"/>
      <c r="L37" s="1095"/>
      <c r="M37" s="1095"/>
      <c r="N37" s="1095"/>
      <c r="O37" s="1095"/>
      <c r="P37" s="1095"/>
      <c r="Q37" s="1096"/>
      <c r="R37" s="1097"/>
      <c r="S37" s="1094"/>
      <c r="T37" s="1095"/>
      <c r="U37" s="1094"/>
      <c r="V37" s="1095"/>
      <c r="W37" s="1306" t="s">
        <v>125</v>
      </c>
      <c r="X37" s="1095"/>
      <c r="Y37" s="1095"/>
      <c r="Z37" s="1095"/>
      <c r="AA37" s="1095"/>
      <c r="AB37" s="1095"/>
      <c r="AC37" s="1095"/>
      <c r="AD37" s="1095"/>
      <c r="AE37" s="1095"/>
      <c r="AF37" s="1095"/>
      <c r="AG37" s="1096"/>
      <c r="AH37" s="1097"/>
      <c r="AI37" s="1094"/>
      <c r="AJ37" s="1095"/>
      <c r="AK37" s="1094"/>
      <c r="AL37" s="1095"/>
      <c r="AM37" s="1095"/>
      <c r="AN37" s="1095"/>
      <c r="AO37" s="1095"/>
      <c r="AP37" s="1095"/>
      <c r="AQ37" s="1095"/>
      <c r="AR37" s="1095"/>
      <c r="AS37" s="1095"/>
      <c r="AT37" s="1095"/>
      <c r="AU37" s="1095"/>
      <c r="AV37" s="1095"/>
      <c r="AW37" s="1096"/>
      <c r="AX37" s="1097"/>
      <c r="AY37" s="1094"/>
      <c r="AZ37" s="1095"/>
      <c r="BA37" s="1094"/>
      <c r="BB37" s="1095"/>
      <c r="BC37" s="1095"/>
      <c r="BD37" s="1095"/>
      <c r="BE37" s="1095"/>
      <c r="BF37" s="1095"/>
      <c r="BG37" s="1095"/>
      <c r="BH37" s="1095"/>
      <c r="BI37" s="1095"/>
      <c r="BJ37" s="1095"/>
      <c r="BK37" s="1095"/>
      <c r="BL37" s="1095"/>
      <c r="BM37" s="1096"/>
      <c r="BN37" s="1097"/>
      <c r="BO37" s="1094"/>
      <c r="BP37" s="1095"/>
      <c r="BQ37" s="1094"/>
      <c r="BR37" s="1095"/>
      <c r="BS37" s="1095"/>
      <c r="BT37" s="1095"/>
      <c r="BU37" s="1095"/>
      <c r="BV37" s="1095"/>
      <c r="BW37" s="1095"/>
      <c r="BX37" s="1095"/>
      <c r="BY37" s="1095"/>
      <c r="BZ37" s="1095"/>
      <c r="CA37" s="1095"/>
      <c r="CB37" s="1095"/>
    </row>
    <row r="38" spans="1:80" x14ac:dyDescent="0.45">
      <c r="A38" s="1096"/>
      <c r="B38" s="1097"/>
      <c r="C38" s="1094"/>
      <c r="D38" s="1095"/>
      <c r="E38" s="1094"/>
      <c r="F38" s="1095"/>
      <c r="G38" s="1306" t="s">
        <v>125</v>
      </c>
      <c r="H38" s="1095"/>
      <c r="I38" s="1095"/>
      <c r="J38" s="1095"/>
      <c r="K38" s="1095"/>
      <c r="L38" s="1095"/>
      <c r="M38" s="1095"/>
      <c r="N38" s="1095"/>
      <c r="O38" s="1095"/>
      <c r="P38" s="1095"/>
      <c r="Q38" s="1096"/>
      <c r="R38" s="1097"/>
      <c r="S38" s="1094"/>
      <c r="T38" s="1095"/>
      <c r="U38" s="1094"/>
      <c r="V38" s="1095"/>
      <c r="W38" s="1095"/>
      <c r="X38" s="1095"/>
      <c r="Y38" s="1095"/>
      <c r="Z38" s="1095"/>
      <c r="AA38" s="1095"/>
      <c r="AB38" s="1095"/>
      <c r="AC38" s="1095"/>
      <c r="AD38" s="1095"/>
      <c r="AE38" s="1095"/>
      <c r="AF38" s="1095"/>
      <c r="AG38" s="1096"/>
      <c r="AH38" s="1097"/>
      <c r="AI38" s="1094"/>
      <c r="AJ38" s="1095"/>
      <c r="AK38" s="1094"/>
      <c r="AL38" s="1095"/>
      <c r="AM38" s="1095"/>
      <c r="AN38" s="1095"/>
      <c r="AO38" s="1095"/>
      <c r="AP38" s="1095"/>
      <c r="AQ38" s="1095"/>
      <c r="AR38" s="1095"/>
      <c r="AS38" s="1095"/>
      <c r="AT38" s="1095"/>
      <c r="AU38" s="1095"/>
      <c r="AV38" s="1095"/>
      <c r="AW38" s="1096"/>
      <c r="AX38" s="1097"/>
      <c r="AY38" s="1094"/>
      <c r="AZ38" s="1095"/>
      <c r="BA38" s="1094"/>
      <c r="BB38" s="1095"/>
      <c r="BC38" s="1095"/>
      <c r="BD38" s="1095"/>
      <c r="BE38" s="1095"/>
      <c r="BF38" s="1095"/>
      <c r="BG38" s="1095"/>
      <c r="BH38" s="1095"/>
      <c r="BI38" s="1095"/>
      <c r="BJ38" s="1095"/>
      <c r="BK38" s="1095"/>
      <c r="BL38" s="1095"/>
      <c r="BM38" s="1096"/>
      <c r="BN38" s="1097"/>
      <c r="BO38" s="1094"/>
      <c r="BP38" s="1095"/>
      <c r="BQ38" s="1094"/>
      <c r="BR38" s="1095"/>
      <c r="BS38" s="1095"/>
      <c r="BT38" s="1095"/>
      <c r="BU38" s="1095"/>
      <c r="BV38" s="1095"/>
      <c r="BW38" s="1095"/>
      <c r="BX38" s="1095"/>
      <c r="BY38" s="1095"/>
      <c r="BZ38" s="1095"/>
      <c r="CA38" s="1095"/>
      <c r="CB38" s="1095"/>
    </row>
    <row r="39" spans="1:80" x14ac:dyDescent="0.45">
      <c r="A39" s="1096"/>
      <c r="B39" s="1097"/>
      <c r="C39" s="1094"/>
      <c r="D39" s="1095"/>
      <c r="E39" s="1094"/>
      <c r="F39" s="1095"/>
      <c r="G39" s="1095"/>
      <c r="H39" s="1095"/>
      <c r="I39" s="1095"/>
      <c r="J39" s="1095"/>
      <c r="K39" s="1095"/>
      <c r="L39" s="1095"/>
      <c r="M39" s="1095"/>
      <c r="N39" s="1095"/>
      <c r="O39" s="1095"/>
      <c r="P39" s="1095"/>
      <c r="Q39" s="1096"/>
      <c r="R39" s="1097"/>
      <c r="S39" s="1094"/>
      <c r="T39" s="1095"/>
      <c r="U39" s="1094"/>
      <c r="V39" s="1095"/>
      <c r="W39" s="1095"/>
      <c r="X39" s="1095"/>
      <c r="Y39" s="1095"/>
      <c r="Z39" s="1095"/>
      <c r="AA39" s="1095"/>
      <c r="AB39" s="1095"/>
      <c r="AC39" s="1095"/>
      <c r="AD39" s="1095"/>
      <c r="AE39" s="1095"/>
      <c r="AF39" s="1095"/>
      <c r="AG39" s="1096"/>
      <c r="AH39" s="1097"/>
      <c r="AI39" s="1094"/>
      <c r="AJ39" s="1095"/>
      <c r="AK39" s="1094"/>
      <c r="AL39" s="1095"/>
      <c r="AM39" s="1095"/>
      <c r="AN39" s="1095"/>
      <c r="AO39" s="1095"/>
      <c r="AP39" s="1095"/>
      <c r="AQ39" s="1095"/>
      <c r="AR39" s="1095"/>
      <c r="AS39" s="1095"/>
      <c r="AT39" s="1095"/>
      <c r="AU39" s="1095"/>
      <c r="AV39" s="1095"/>
      <c r="AW39" s="1096"/>
      <c r="AX39" s="1097"/>
      <c r="AY39" s="1094"/>
      <c r="AZ39" s="1095"/>
      <c r="BA39" s="1094"/>
      <c r="BB39" s="1095"/>
      <c r="BC39" s="1095"/>
      <c r="BD39" s="1095"/>
      <c r="BE39" s="1095"/>
      <c r="BF39" s="1095"/>
      <c r="BG39" s="1095"/>
      <c r="BH39" s="1095"/>
      <c r="BI39" s="1095"/>
      <c r="BJ39" s="1095"/>
      <c r="BK39" s="1095"/>
      <c r="BL39" s="1095"/>
      <c r="BM39" s="1096"/>
      <c r="BN39" s="1097"/>
      <c r="BO39" s="1094"/>
      <c r="BP39" s="1095"/>
      <c r="BQ39" s="1094"/>
      <c r="BR39" s="1095"/>
      <c r="BS39" s="1095"/>
      <c r="BT39" s="1095"/>
      <c r="BU39" s="1095"/>
      <c r="BV39" s="1095"/>
      <c r="BW39" s="1095"/>
      <c r="BX39" s="1095"/>
      <c r="BY39" s="1095"/>
      <c r="BZ39" s="1095"/>
      <c r="CA39" s="1095"/>
      <c r="CB39" s="1095"/>
    </row>
    <row r="40" spans="1:80" x14ac:dyDescent="0.45">
      <c r="A40" s="1096"/>
      <c r="B40" s="1097"/>
      <c r="C40" s="1094"/>
      <c r="D40" s="1095"/>
      <c r="E40" s="1094"/>
      <c r="F40" s="1095"/>
      <c r="G40" s="1095"/>
      <c r="H40" s="1095"/>
      <c r="I40" s="1095"/>
      <c r="J40" s="1095"/>
      <c r="K40" s="1095"/>
      <c r="L40" s="1095"/>
      <c r="M40" s="1095"/>
      <c r="N40" s="1095"/>
      <c r="O40" s="1095"/>
      <c r="P40" s="1095"/>
      <c r="Q40" s="1096"/>
      <c r="R40" s="1097"/>
      <c r="S40" s="1094"/>
      <c r="T40" s="1095"/>
      <c r="U40" s="1094"/>
      <c r="V40" s="1095"/>
      <c r="W40" s="1095"/>
      <c r="X40" s="1095"/>
      <c r="Y40" s="1095"/>
      <c r="Z40" s="1095"/>
      <c r="AA40" s="1095"/>
      <c r="AB40" s="1095"/>
      <c r="AC40" s="1095"/>
      <c r="AD40" s="1095"/>
      <c r="AE40" s="1095"/>
      <c r="AF40" s="1095"/>
      <c r="AG40" s="1096"/>
      <c r="AH40" s="1097"/>
      <c r="AI40" s="1094"/>
      <c r="AJ40" s="1095"/>
      <c r="AK40" s="1094"/>
      <c r="AL40" s="1095"/>
      <c r="AM40" s="1095"/>
      <c r="AN40" s="1095"/>
      <c r="AO40" s="1095"/>
      <c r="AP40" s="1095"/>
      <c r="AQ40" s="1095"/>
      <c r="AR40" s="1095"/>
      <c r="AS40" s="1095"/>
      <c r="AT40" s="1095"/>
      <c r="AU40" s="1095"/>
      <c r="AV40" s="1095"/>
      <c r="AW40" s="1096"/>
      <c r="AX40" s="1097"/>
      <c r="AY40" s="1094"/>
      <c r="AZ40" s="1095"/>
      <c r="BA40" s="1094"/>
      <c r="BB40" s="1095"/>
      <c r="BC40" s="1095"/>
      <c r="BD40" s="1095"/>
      <c r="BE40" s="1095"/>
      <c r="BF40" s="1095"/>
      <c r="BG40" s="1095"/>
      <c r="BH40" s="1095"/>
      <c r="BI40" s="1095"/>
      <c r="BJ40" s="1095"/>
      <c r="BK40" s="1095"/>
      <c r="BL40" s="1095"/>
      <c r="BM40" s="1096"/>
      <c r="BN40" s="1097"/>
      <c r="BO40" s="1094"/>
      <c r="BP40" s="1095"/>
      <c r="BQ40" s="1094"/>
      <c r="BR40" s="1095"/>
      <c r="BS40" s="1095"/>
      <c r="BT40" s="1095"/>
      <c r="BU40" s="1095"/>
      <c r="BV40" s="1095"/>
      <c r="BW40" s="1095"/>
      <c r="BX40" s="1095"/>
      <c r="BY40" s="1095"/>
      <c r="BZ40" s="1095"/>
      <c r="CA40" s="1095"/>
      <c r="CB40" s="1095"/>
    </row>
    <row r="41" spans="1:80" x14ac:dyDescent="0.45">
      <c r="A41" s="1096"/>
      <c r="B41" s="1097"/>
      <c r="C41" s="1094"/>
      <c r="D41" s="1095"/>
      <c r="E41" s="1094"/>
      <c r="F41" s="1095"/>
      <c r="G41" s="1095"/>
      <c r="H41" s="1095"/>
      <c r="I41" s="1095"/>
      <c r="J41" s="1095"/>
      <c r="K41" s="1095"/>
      <c r="L41" s="1095"/>
      <c r="M41" s="1095"/>
      <c r="N41" s="1095"/>
      <c r="O41" s="1095"/>
      <c r="P41" s="1095"/>
      <c r="Q41" s="1096"/>
      <c r="R41" s="1097"/>
      <c r="S41" s="1094"/>
      <c r="T41" s="1095"/>
      <c r="U41" s="1094"/>
      <c r="V41" s="1095"/>
      <c r="W41" s="1095"/>
      <c r="X41" s="1095"/>
      <c r="Y41" s="1095"/>
      <c r="Z41" s="1095"/>
      <c r="AA41" s="1095"/>
      <c r="AB41" s="1095"/>
      <c r="AC41" s="1095"/>
      <c r="AD41" s="1095"/>
      <c r="AE41" s="1095"/>
      <c r="AF41" s="1095"/>
      <c r="AG41" s="1096"/>
      <c r="AH41" s="1097"/>
      <c r="AI41" s="1094"/>
      <c r="AJ41" s="1095"/>
      <c r="AK41" s="1094"/>
      <c r="AL41" s="1095"/>
      <c r="AM41" s="1095"/>
      <c r="AN41" s="1095"/>
      <c r="AO41" s="1095"/>
      <c r="AP41" s="1095"/>
      <c r="AQ41" s="1095"/>
      <c r="AR41" s="1095"/>
      <c r="AS41" s="1095"/>
      <c r="AT41" s="1095"/>
      <c r="AU41" s="1095"/>
      <c r="AV41" s="1095"/>
      <c r="AW41" s="1096"/>
      <c r="AX41" s="1097"/>
      <c r="AY41" s="1094"/>
      <c r="AZ41" s="1095"/>
      <c r="BA41" s="1094"/>
      <c r="BB41" s="1095"/>
      <c r="BC41" s="1095"/>
      <c r="BD41" s="1095"/>
      <c r="BE41" s="1095"/>
      <c r="BF41" s="1095"/>
      <c r="BG41" s="1095"/>
      <c r="BH41" s="1095"/>
      <c r="BI41" s="1095"/>
      <c r="BJ41" s="1095"/>
      <c r="BK41" s="1095"/>
      <c r="BL41" s="1095"/>
      <c r="BM41" s="1096"/>
      <c r="BN41" s="1097"/>
      <c r="BO41" s="1094"/>
      <c r="BP41" s="1095"/>
      <c r="BQ41" s="1094"/>
      <c r="BR41" s="1095"/>
      <c r="BS41" s="1095"/>
      <c r="BT41" s="1095"/>
      <c r="BU41" s="1095"/>
      <c r="BV41" s="1095"/>
      <c r="BW41" s="1095"/>
      <c r="BX41" s="1095"/>
      <c r="BY41" s="1095"/>
      <c r="BZ41" s="1095"/>
      <c r="CA41" s="1095"/>
      <c r="CB41" s="1095"/>
    </row>
    <row r="42" spans="1:80" x14ac:dyDescent="0.45">
      <c r="A42" s="1096"/>
      <c r="B42" s="1097"/>
      <c r="C42" s="1094"/>
      <c r="D42" s="1095"/>
      <c r="E42" s="1094"/>
      <c r="F42" s="1095"/>
      <c r="G42" s="1095"/>
      <c r="H42" s="1095"/>
      <c r="I42" s="1095"/>
      <c r="J42" s="1095"/>
      <c r="K42" s="1095"/>
      <c r="L42" s="1095"/>
      <c r="M42" s="1095"/>
      <c r="N42" s="1095"/>
      <c r="O42" s="1095"/>
      <c r="P42" s="1095"/>
      <c r="Q42" s="1096"/>
      <c r="R42" s="1097"/>
      <c r="S42" s="1094"/>
      <c r="T42" s="1095"/>
      <c r="U42" s="1094"/>
      <c r="V42" s="1095"/>
      <c r="W42" s="1095"/>
      <c r="X42" s="1095"/>
      <c r="Y42" s="1095"/>
      <c r="Z42" s="1095"/>
      <c r="AA42" s="1095"/>
      <c r="AB42" s="1095"/>
      <c r="AC42" s="1095"/>
      <c r="AD42" s="1095"/>
      <c r="AE42" s="1095"/>
      <c r="AF42" s="1095"/>
      <c r="AG42" s="1096"/>
      <c r="AH42" s="1097"/>
      <c r="AI42" s="1094"/>
      <c r="AJ42" s="1095"/>
      <c r="AK42" s="1094"/>
      <c r="AL42" s="1095"/>
      <c r="AM42" s="1095"/>
      <c r="AN42" s="1095"/>
      <c r="AO42" s="1095"/>
      <c r="AP42" s="1095"/>
      <c r="AQ42" s="1095"/>
      <c r="AR42" s="1095"/>
      <c r="AS42" s="1095"/>
      <c r="AT42" s="1095"/>
      <c r="AU42" s="1095"/>
      <c r="AV42" s="1095"/>
      <c r="AW42" s="1096"/>
      <c r="AX42" s="1097"/>
      <c r="AY42" s="1094"/>
      <c r="AZ42" s="1095"/>
      <c r="BA42" s="1094"/>
      <c r="BB42" s="1095"/>
      <c r="BC42" s="1095"/>
      <c r="BD42" s="1095"/>
      <c r="BE42" s="1095"/>
      <c r="BF42" s="1095"/>
      <c r="BG42" s="1095"/>
      <c r="BH42" s="1095"/>
      <c r="BI42" s="1095"/>
      <c r="BJ42" s="1095"/>
      <c r="BK42" s="1095"/>
      <c r="BL42" s="1095"/>
      <c r="BM42" s="1096"/>
      <c r="BN42" s="1097"/>
      <c r="BO42" s="1094"/>
      <c r="BP42" s="1095"/>
      <c r="BQ42" s="1094"/>
      <c r="BR42" s="1095"/>
      <c r="BS42" s="1095"/>
      <c r="BT42" s="1095"/>
      <c r="BU42" s="1095"/>
      <c r="BV42" s="1095"/>
      <c r="BW42" s="1095"/>
      <c r="BX42" s="1095"/>
      <c r="BY42" s="1095"/>
      <c r="BZ42" s="1095"/>
      <c r="CA42" s="1095"/>
      <c r="CB42" s="1095"/>
    </row>
    <row r="43" spans="1:80" x14ac:dyDescent="0.45">
      <c r="A43" s="1096"/>
      <c r="B43" s="1097"/>
      <c r="C43" s="1094"/>
      <c r="D43" s="1095"/>
      <c r="E43" s="1094"/>
      <c r="F43" s="1095"/>
      <c r="G43" s="1095"/>
      <c r="H43" s="1095"/>
      <c r="I43" s="1095"/>
      <c r="J43" s="1095"/>
      <c r="K43" s="1095"/>
      <c r="L43" s="1095"/>
      <c r="M43" s="1095"/>
      <c r="N43" s="1095"/>
      <c r="O43" s="1095"/>
      <c r="P43" s="1095"/>
      <c r="Q43" s="1096"/>
      <c r="R43" s="1097"/>
      <c r="S43" s="1094"/>
      <c r="T43" s="1095"/>
      <c r="U43" s="1094"/>
      <c r="V43" s="1095"/>
      <c r="W43" s="1095"/>
      <c r="X43" s="1095"/>
      <c r="Y43" s="1095"/>
      <c r="Z43" s="1095"/>
      <c r="AA43" s="1095"/>
      <c r="AB43" s="1095"/>
      <c r="AC43" s="1095"/>
      <c r="AD43" s="1095"/>
      <c r="AE43" s="1095"/>
      <c r="AF43" s="1095"/>
      <c r="AG43" s="1096"/>
      <c r="AH43" s="1097"/>
      <c r="AI43" s="1094"/>
      <c r="AJ43" s="1095"/>
      <c r="AK43" s="1094"/>
      <c r="AL43" s="1095"/>
      <c r="AM43" s="1095"/>
      <c r="AN43" s="1095"/>
      <c r="AO43" s="1095"/>
      <c r="AP43" s="1095"/>
      <c r="AQ43" s="1095"/>
      <c r="AR43" s="1095"/>
      <c r="AS43" s="1095"/>
      <c r="AT43" s="1095"/>
      <c r="AU43" s="1095"/>
      <c r="AV43" s="1095"/>
      <c r="AW43" s="1096"/>
      <c r="AX43" s="1097"/>
      <c r="AY43" s="1094"/>
      <c r="AZ43" s="1095"/>
      <c r="BA43" s="1094"/>
      <c r="BB43" s="1095"/>
      <c r="BC43" s="1095"/>
      <c r="BD43" s="1095"/>
      <c r="BE43" s="1095"/>
      <c r="BF43" s="1095"/>
      <c r="BG43" s="1095"/>
      <c r="BH43" s="1095"/>
      <c r="BI43" s="1095"/>
      <c r="BJ43" s="1095"/>
      <c r="BK43" s="1095"/>
      <c r="BL43" s="1095"/>
      <c r="BM43" s="1096"/>
      <c r="BN43" s="1097"/>
      <c r="BO43" s="1094"/>
      <c r="BP43" s="1095"/>
      <c r="BQ43" s="1094"/>
      <c r="BR43" s="1095"/>
      <c r="BS43" s="1095"/>
      <c r="BT43" s="1095"/>
      <c r="BU43" s="1095"/>
      <c r="BV43" s="1095"/>
      <c r="BW43" s="1095"/>
      <c r="BX43" s="1095"/>
      <c r="BY43" s="1095"/>
      <c r="BZ43" s="1095"/>
      <c r="CA43" s="1095"/>
      <c r="CB43" s="1095"/>
    </row>
    <row r="44" spans="1:80" x14ac:dyDescent="0.45">
      <c r="A44" s="1096"/>
      <c r="B44" s="1097"/>
      <c r="C44" s="1094"/>
      <c r="D44" s="1095"/>
      <c r="E44" s="1094"/>
      <c r="F44" s="1095"/>
      <c r="G44" s="1095"/>
      <c r="H44" s="1095"/>
      <c r="I44" s="1095"/>
      <c r="J44" s="1095"/>
      <c r="K44" s="1095"/>
      <c r="L44" s="1095"/>
      <c r="M44" s="1095"/>
      <c r="N44" s="1095"/>
      <c r="O44" s="1095"/>
      <c r="P44" s="1095"/>
      <c r="Q44" s="1096"/>
      <c r="R44" s="1097"/>
      <c r="S44" s="1094"/>
      <c r="T44" s="1095"/>
      <c r="U44" s="1094"/>
      <c r="V44" s="1095"/>
      <c r="W44" s="1095"/>
      <c r="X44" s="1095"/>
      <c r="Y44" s="1095"/>
      <c r="Z44" s="1095"/>
      <c r="AA44" s="1095"/>
      <c r="AB44" s="1095"/>
      <c r="AC44" s="1095"/>
      <c r="AD44" s="1095"/>
      <c r="AE44" s="1095"/>
      <c r="AF44" s="1095"/>
      <c r="AG44" s="1096"/>
      <c r="AH44" s="1097"/>
      <c r="AI44" s="1094"/>
      <c r="AJ44" s="1095"/>
      <c r="AK44" s="1094"/>
      <c r="AL44" s="1095"/>
      <c r="AM44" s="1095"/>
      <c r="AN44" s="1095"/>
      <c r="AO44" s="1095"/>
      <c r="AP44" s="1095"/>
      <c r="AQ44" s="1095"/>
      <c r="AR44" s="1095"/>
      <c r="AS44" s="1095"/>
      <c r="AT44" s="1095"/>
      <c r="AU44" s="1095"/>
      <c r="AV44" s="1095"/>
      <c r="AW44" s="1096"/>
      <c r="AX44" s="1097"/>
      <c r="AY44" s="1094"/>
      <c r="AZ44" s="1095"/>
      <c r="BA44" s="1094"/>
      <c r="BB44" s="1095"/>
      <c r="BC44" s="1095"/>
      <c r="BD44" s="1095"/>
      <c r="BE44" s="1095"/>
      <c r="BF44" s="1095"/>
      <c r="BG44" s="1095"/>
      <c r="BH44" s="1095"/>
      <c r="BI44" s="1095"/>
      <c r="BJ44" s="1095"/>
      <c r="BK44" s="1095"/>
      <c r="BL44" s="1095"/>
      <c r="BM44" s="1096"/>
      <c r="BN44" s="1097"/>
      <c r="BO44" s="1094"/>
      <c r="BP44" s="1095"/>
      <c r="BQ44" s="1094"/>
      <c r="BR44" s="1095"/>
      <c r="BS44" s="1095"/>
      <c r="BT44" s="1095"/>
      <c r="BU44" s="1095"/>
      <c r="BV44" s="1095"/>
      <c r="BW44" s="1095"/>
      <c r="BX44" s="1095"/>
      <c r="BY44" s="1095"/>
      <c r="BZ44" s="1095"/>
      <c r="CA44" s="1095"/>
      <c r="CB44" s="1095"/>
    </row>
    <row r="45" spans="1:80" x14ac:dyDescent="0.45">
      <c r="A45" s="1096"/>
      <c r="B45" s="1097"/>
      <c r="C45" s="1094"/>
      <c r="D45" s="1095"/>
      <c r="E45" s="1094"/>
      <c r="F45" s="1095"/>
      <c r="G45" s="1095"/>
      <c r="H45" s="1095"/>
      <c r="I45" s="1095"/>
      <c r="J45" s="1095"/>
      <c r="K45" s="1095"/>
      <c r="L45" s="1095"/>
      <c r="M45" s="1095"/>
      <c r="N45" s="1095"/>
      <c r="O45" s="1095"/>
      <c r="P45" s="1095"/>
      <c r="Q45" s="1096"/>
      <c r="R45" s="1097"/>
      <c r="S45" s="1094"/>
      <c r="T45" s="1095"/>
      <c r="U45" s="1094"/>
      <c r="V45" s="1095"/>
      <c r="W45" s="1095"/>
      <c r="X45" s="1095"/>
      <c r="Y45" s="1095"/>
      <c r="Z45" s="1095"/>
      <c r="AA45" s="1095"/>
      <c r="AB45" s="1095"/>
      <c r="AC45" s="1095"/>
      <c r="AD45" s="1095"/>
      <c r="AE45" s="1095"/>
      <c r="AF45" s="1095"/>
      <c r="AG45" s="1096"/>
      <c r="AH45" s="1097"/>
      <c r="AI45" s="1094"/>
      <c r="AJ45" s="1095"/>
      <c r="AK45" s="1094"/>
      <c r="AL45" s="1095"/>
      <c r="AM45" s="1095"/>
      <c r="AN45" s="1095"/>
      <c r="AO45" s="1095"/>
      <c r="AP45" s="1095"/>
      <c r="AQ45" s="1095"/>
      <c r="AR45" s="1095"/>
      <c r="AS45" s="1095"/>
      <c r="AT45" s="1095"/>
      <c r="AU45" s="1095"/>
      <c r="AV45" s="1095"/>
      <c r="AW45" s="1096"/>
      <c r="AX45" s="1097"/>
      <c r="AY45" s="1094"/>
      <c r="AZ45" s="1095"/>
      <c r="BA45" s="1094"/>
      <c r="BB45" s="1095"/>
      <c r="BC45" s="1095"/>
      <c r="BD45" s="1095"/>
      <c r="BE45" s="1095"/>
      <c r="BF45" s="1095"/>
      <c r="BG45" s="1095"/>
      <c r="BH45" s="1095"/>
      <c r="BI45" s="1095"/>
      <c r="BJ45" s="1095"/>
      <c r="BK45" s="1095"/>
      <c r="BL45" s="1095"/>
      <c r="BM45" s="1096"/>
      <c r="BN45" s="1097"/>
      <c r="BO45" s="1094"/>
      <c r="BP45" s="1095"/>
      <c r="BQ45" s="1094"/>
      <c r="BR45" s="1095"/>
      <c r="BS45" s="1095"/>
      <c r="BT45" s="1095"/>
      <c r="BU45" s="1095"/>
      <c r="BV45" s="1095"/>
      <c r="BW45" s="1095"/>
      <c r="BX45" s="1095"/>
      <c r="BY45" s="1095"/>
      <c r="BZ45" s="1095"/>
      <c r="CA45" s="1095"/>
      <c r="CB45" s="1095"/>
    </row>
    <row r="46" spans="1:80" x14ac:dyDescent="0.45">
      <c r="A46" s="1096"/>
      <c r="B46" s="1097"/>
      <c r="C46" s="1094"/>
      <c r="D46" s="1095"/>
      <c r="E46" s="1094"/>
      <c r="F46" s="1095"/>
      <c r="G46" s="1095"/>
      <c r="H46" s="1095"/>
      <c r="I46" s="1095"/>
      <c r="J46" s="1095"/>
      <c r="K46" s="1095"/>
      <c r="L46" s="1095"/>
      <c r="M46" s="1095"/>
      <c r="N46" s="1095"/>
      <c r="O46" s="1095"/>
      <c r="P46" s="1095"/>
      <c r="Q46" s="1096"/>
      <c r="R46" s="1097"/>
      <c r="S46" s="1094"/>
      <c r="T46" s="1095"/>
      <c r="U46" s="1094"/>
      <c r="V46" s="1095"/>
      <c r="W46" s="1095"/>
      <c r="X46" s="1095"/>
      <c r="Y46" s="1095"/>
      <c r="Z46" s="1095"/>
      <c r="AA46" s="1095"/>
      <c r="AB46" s="1095"/>
      <c r="AC46" s="1095"/>
      <c r="AD46" s="1095"/>
      <c r="AE46" s="1095"/>
      <c r="AF46" s="1095"/>
      <c r="AG46" s="1096"/>
      <c r="AH46" s="1097"/>
      <c r="AI46" s="1094"/>
      <c r="AJ46" s="1095"/>
      <c r="AK46" s="1094"/>
      <c r="AL46" s="1095"/>
      <c r="AM46" s="1095"/>
      <c r="AN46" s="1095"/>
      <c r="AO46" s="1095"/>
      <c r="AP46" s="1095"/>
      <c r="AQ46" s="1095"/>
      <c r="AR46" s="1095"/>
      <c r="AS46" s="1095"/>
      <c r="AT46" s="1095"/>
      <c r="AU46" s="1095"/>
      <c r="AV46" s="1095"/>
      <c r="AW46" s="1096"/>
      <c r="AX46" s="1097"/>
      <c r="AY46" s="1094"/>
      <c r="AZ46" s="1095"/>
      <c r="BA46" s="1094"/>
      <c r="BB46" s="1095"/>
      <c r="BC46" s="1095"/>
      <c r="BD46" s="1095"/>
      <c r="BE46" s="1095"/>
      <c r="BF46" s="1095"/>
      <c r="BG46" s="1095"/>
      <c r="BH46" s="1095"/>
      <c r="BI46" s="1095"/>
      <c r="BJ46" s="1095"/>
      <c r="BK46" s="1095"/>
      <c r="BL46" s="1095"/>
      <c r="BM46" s="1096"/>
      <c r="BN46" s="1097"/>
      <c r="BO46" s="1094"/>
      <c r="BP46" s="1095"/>
      <c r="BQ46" s="1094"/>
      <c r="BR46" s="1095"/>
      <c r="BS46" s="1095"/>
      <c r="BT46" s="1095"/>
      <c r="BU46" s="1095"/>
      <c r="BV46" s="1095"/>
      <c r="BW46" s="1095"/>
      <c r="BX46" s="1095"/>
      <c r="BY46" s="1095"/>
      <c r="BZ46" s="1095"/>
      <c r="CA46" s="1095"/>
      <c r="CB46" s="1095"/>
    </row>
    <row r="47" spans="1:80" x14ac:dyDescent="0.45">
      <c r="A47" s="1096"/>
      <c r="B47" s="1097"/>
      <c r="C47" s="1094"/>
      <c r="D47" s="1095"/>
      <c r="E47" s="1094"/>
      <c r="F47" s="1095"/>
      <c r="G47" s="1095"/>
      <c r="H47" s="1095"/>
      <c r="I47" s="1095"/>
      <c r="J47" s="1095"/>
      <c r="K47" s="1095"/>
      <c r="L47" s="1095"/>
      <c r="M47" s="1095"/>
      <c r="N47" s="1095"/>
      <c r="O47" s="1095"/>
      <c r="P47" s="1095"/>
      <c r="Q47" s="1096"/>
      <c r="R47" s="1097"/>
      <c r="S47" s="1094"/>
      <c r="T47" s="1095"/>
      <c r="U47" s="1094"/>
      <c r="V47" s="1095"/>
      <c r="W47" s="1095"/>
      <c r="X47" s="1095"/>
      <c r="Y47" s="1095"/>
      <c r="Z47" s="1095"/>
      <c r="AA47" s="1095"/>
      <c r="AB47" s="1095"/>
      <c r="AC47" s="1095"/>
      <c r="AD47" s="1095"/>
      <c r="AE47" s="1095"/>
      <c r="AF47" s="1095"/>
      <c r="AG47" s="1096"/>
      <c r="AH47" s="1097"/>
      <c r="AI47" s="1094"/>
      <c r="AJ47" s="1095"/>
      <c r="AK47" s="1094"/>
      <c r="AL47" s="1095"/>
      <c r="AM47" s="1095"/>
      <c r="AN47" s="1095"/>
      <c r="AO47" s="1095"/>
      <c r="AP47" s="1095"/>
      <c r="AQ47" s="1095"/>
      <c r="AR47" s="1095"/>
      <c r="AS47" s="1095"/>
      <c r="AT47" s="1095"/>
      <c r="AU47" s="1095"/>
      <c r="AV47" s="1095"/>
      <c r="AW47" s="1096"/>
      <c r="AX47" s="1097"/>
      <c r="AY47" s="1094"/>
      <c r="AZ47" s="1095"/>
      <c r="BA47" s="1094"/>
      <c r="BB47" s="1095"/>
      <c r="BC47" s="1095"/>
      <c r="BD47" s="1095"/>
      <c r="BE47" s="1095"/>
      <c r="BF47" s="1095"/>
      <c r="BG47" s="1095"/>
      <c r="BH47" s="1095"/>
      <c r="BI47" s="1095"/>
      <c r="BJ47" s="1095"/>
      <c r="BK47" s="1095"/>
      <c r="BL47" s="1095"/>
      <c r="BM47" s="1096"/>
      <c r="BN47" s="1097"/>
      <c r="BO47" s="1094"/>
      <c r="BP47" s="1095"/>
      <c r="BQ47" s="1094"/>
      <c r="BR47" s="1095"/>
      <c r="BS47" s="1095"/>
      <c r="BT47" s="1095"/>
      <c r="BU47" s="1095"/>
      <c r="BV47" s="1095"/>
      <c r="BW47" s="1095"/>
      <c r="BX47" s="1095"/>
      <c r="BY47" s="1095"/>
      <c r="BZ47" s="1095"/>
      <c r="CA47" s="1095"/>
      <c r="CB47" s="1095"/>
    </row>
  </sheetData>
  <mergeCells count="91">
    <mergeCell ref="W3:X3"/>
    <mergeCell ref="Y3:Z3"/>
    <mergeCell ref="AA3:AB3"/>
    <mergeCell ref="AC3:AD3"/>
    <mergeCell ref="AE3:AF3"/>
    <mergeCell ref="K3:L3"/>
    <mergeCell ref="M3:N3"/>
    <mergeCell ref="S3:T3"/>
    <mergeCell ref="U3:V3"/>
    <mergeCell ref="O3:P3"/>
    <mergeCell ref="M4:N4"/>
    <mergeCell ref="O4:P4"/>
    <mergeCell ref="A1:P1"/>
    <mergeCell ref="C4:D4"/>
    <mergeCell ref="E4:F4"/>
    <mergeCell ref="G4:H4"/>
    <mergeCell ref="I4:J4"/>
    <mergeCell ref="K4:L4"/>
    <mergeCell ref="B2:B3"/>
    <mergeCell ref="C2:E2"/>
    <mergeCell ref="G2:I2"/>
    <mergeCell ref="J2:P2"/>
    <mergeCell ref="C3:D3"/>
    <mergeCell ref="E3:F3"/>
    <mergeCell ref="G3:H3"/>
    <mergeCell ref="I3:J3"/>
    <mergeCell ref="AS3:AT3"/>
    <mergeCell ref="AU3:AV3"/>
    <mergeCell ref="AH1:AH2"/>
    <mergeCell ref="AI1:AK1"/>
    <mergeCell ref="AM1:AO1"/>
    <mergeCell ref="AP1:AV1"/>
    <mergeCell ref="AI3:AJ3"/>
    <mergeCell ref="AK3:AL3"/>
    <mergeCell ref="AM3:AN3"/>
    <mergeCell ref="AO3:AP3"/>
    <mergeCell ref="AQ3:AR3"/>
    <mergeCell ref="AS2:AT2"/>
    <mergeCell ref="AU2:AV2"/>
    <mergeCell ref="AI2:AJ2"/>
    <mergeCell ref="AK2:AL2"/>
    <mergeCell ref="AM2:AN2"/>
    <mergeCell ref="BI3:BJ3"/>
    <mergeCell ref="BK3:BL3"/>
    <mergeCell ref="AX1:AX2"/>
    <mergeCell ref="AY1:BA1"/>
    <mergeCell ref="BC1:BE1"/>
    <mergeCell ref="BF1:BL1"/>
    <mergeCell ref="AY3:AZ3"/>
    <mergeCell ref="BA3:BB3"/>
    <mergeCell ref="BC3:BD3"/>
    <mergeCell ref="BE3:BF3"/>
    <mergeCell ref="BG3:BH3"/>
    <mergeCell ref="BY3:BZ3"/>
    <mergeCell ref="CA3:CB3"/>
    <mergeCell ref="BV1:CB1"/>
    <mergeCell ref="BW2:BX2"/>
    <mergeCell ref="BY2:BZ2"/>
    <mergeCell ref="CA2:CB2"/>
    <mergeCell ref="BO3:BP3"/>
    <mergeCell ref="BQ3:BR3"/>
    <mergeCell ref="BS3:BT3"/>
    <mergeCell ref="BU3:BV3"/>
    <mergeCell ref="BW3:BX3"/>
    <mergeCell ref="BS1:BU1"/>
    <mergeCell ref="BO1:BQ1"/>
    <mergeCell ref="S1:U1"/>
    <mergeCell ref="BQ2:BR2"/>
    <mergeCell ref="BS2:BT2"/>
    <mergeCell ref="BU2:BV2"/>
    <mergeCell ref="W1:Y1"/>
    <mergeCell ref="Z1:AF1"/>
    <mergeCell ref="S2:T2"/>
    <mergeCell ref="U2:V2"/>
    <mergeCell ref="W2:X2"/>
    <mergeCell ref="Y2:Z2"/>
    <mergeCell ref="AA2:AB2"/>
    <mergeCell ref="AC2:AD2"/>
    <mergeCell ref="AE2:AF2"/>
    <mergeCell ref="R1:R2"/>
    <mergeCell ref="BI2:BJ2"/>
    <mergeCell ref="BK2:BL2"/>
    <mergeCell ref="BN1:BN2"/>
    <mergeCell ref="BO2:BP2"/>
    <mergeCell ref="AY2:AZ2"/>
    <mergeCell ref="BA2:BB2"/>
    <mergeCell ref="BC2:BD2"/>
    <mergeCell ref="BE2:BF2"/>
    <mergeCell ref="BG2:BH2"/>
    <mergeCell ref="AO2:AP2"/>
    <mergeCell ref="AQ2:AR2"/>
  </mergeCells>
  <phoneticPr fontId="52" type="noConversion"/>
  <pageMargins left="0.23622047244094491" right="0.23622047244094491" top="0.74803149606299213" bottom="0.74803149606299213" header="0.31496062992125984" footer="0.31496062992125984"/>
  <pageSetup paperSize="9" scale="59" orientation="landscape" r:id="rId1"/>
  <headerFooter>
    <oddHeader>&amp;R&amp;"Calibri"&amp;10&amp;K000000 Público&amp;1#_x000D_</oddHeader>
    <oddFooter>&amp;L_x000D_&amp;1#&amp;"Calibri"&amp;10&amp;K000000 Público</oddFooter>
  </headerFooter>
  <colBreaks count="1" manualBreakCount="1">
    <brk id="16" max="51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DA2CB-59D8-4A55-9D93-D70BEA2EBAE2}">
  <sheetPr>
    <pageSetUpPr fitToPage="1"/>
  </sheetPr>
  <dimension ref="A1:MI58"/>
  <sheetViews>
    <sheetView view="pageBreakPreview" topLeftCell="CB1" zoomScaleNormal="100" zoomScaleSheetLayoutView="100" workbookViewId="0">
      <selection activeCell="CN17" sqref="CN17"/>
    </sheetView>
  </sheetViews>
  <sheetFormatPr baseColWidth="10" defaultColWidth="9.140625" defaultRowHeight="15" x14ac:dyDescent="0.25"/>
  <cols>
    <col min="1" max="1" width="20.7109375" hidden="1" customWidth="1"/>
    <col min="2" max="16" width="0" hidden="1" customWidth="1"/>
    <col min="17" max="17" width="22" customWidth="1"/>
    <col min="18" max="18" width="6.85546875" bestFit="1" customWidth="1"/>
    <col min="19" max="19" width="7.85546875" customWidth="1"/>
    <col min="20" max="20" width="8.140625" customWidth="1"/>
    <col min="21" max="21" width="7.85546875" customWidth="1"/>
    <col min="22" max="22" width="8.140625" customWidth="1"/>
    <col min="23" max="23" width="8.42578125" customWidth="1"/>
    <col min="24" max="24" width="7.7109375" customWidth="1"/>
    <col min="25" max="25" width="7.140625" customWidth="1"/>
    <col min="26" max="26" width="8.140625" customWidth="1"/>
    <col min="27" max="27" width="7" customWidth="1"/>
    <col min="28" max="29" width="7.140625" customWidth="1"/>
    <col min="30" max="30" width="8" customWidth="1"/>
    <col min="31" max="31" width="7.140625" customWidth="1"/>
    <col min="32" max="32" width="8" customWidth="1"/>
    <col min="33" max="33" width="23.28515625" customWidth="1"/>
    <col min="34" max="47" width="7.140625" customWidth="1"/>
    <col min="48" max="48" width="6.5703125" customWidth="1"/>
    <col min="49" max="49" width="20.7109375" customWidth="1"/>
    <col min="50" max="57" width="7.140625" customWidth="1"/>
    <col min="58" max="58" width="7" customWidth="1"/>
    <col min="59" max="64" width="7.140625" customWidth="1"/>
    <col min="65" max="65" width="20.7109375" customWidth="1"/>
    <col min="66" max="72" width="7.140625" customWidth="1"/>
    <col min="73" max="73" width="7" customWidth="1"/>
    <col min="74" max="74" width="7.140625" customWidth="1"/>
    <col min="75" max="75" width="7.28515625" customWidth="1"/>
    <col min="76" max="77" width="7.140625" customWidth="1"/>
    <col min="78" max="78" width="7.28515625" customWidth="1"/>
    <col min="79" max="80" width="7.140625" customWidth="1"/>
    <col min="81" max="81" width="21.140625" customWidth="1"/>
    <col min="82" max="82" width="6.42578125" customWidth="1"/>
    <col min="83" max="83" width="7.5703125" customWidth="1"/>
    <col min="84" max="84" width="7.140625" customWidth="1"/>
    <col min="85" max="86" width="7.5703125" customWidth="1"/>
    <col min="87" max="87" width="7.42578125" customWidth="1"/>
    <col min="88" max="88" width="7.140625" customWidth="1"/>
    <col min="89" max="89" width="7.7109375" customWidth="1"/>
    <col min="90" max="90" width="7.5703125" customWidth="1"/>
    <col min="91" max="91" width="7.28515625" customWidth="1"/>
    <col min="92" max="92" width="7.140625" customWidth="1"/>
    <col min="93" max="93" width="7.42578125" customWidth="1"/>
    <col min="94" max="95" width="7.140625" customWidth="1"/>
    <col min="96" max="96" width="7.28515625" customWidth="1"/>
    <col min="97" max="97" width="19.5703125" bestFit="1" customWidth="1"/>
  </cols>
  <sheetData>
    <row r="1" spans="1:112" ht="16.5" thickBot="1" x14ac:dyDescent="0.3">
      <c r="A1" s="2181" t="s">
        <v>126</v>
      </c>
      <c r="B1" s="2181"/>
      <c r="C1" s="2181"/>
      <c r="D1" s="2181"/>
      <c r="E1" s="2181"/>
      <c r="F1" s="2181"/>
      <c r="G1" s="2181"/>
      <c r="H1" s="2181"/>
      <c r="I1" s="2181"/>
      <c r="J1" s="2181"/>
      <c r="K1" s="2181"/>
      <c r="L1" s="2181"/>
      <c r="M1" s="2181"/>
      <c r="N1" s="2181"/>
      <c r="O1" s="2181"/>
      <c r="P1" s="2181"/>
      <c r="Q1" s="2181" t="s">
        <v>126</v>
      </c>
      <c r="R1" s="2181"/>
      <c r="S1" s="2181"/>
      <c r="T1" s="2181"/>
      <c r="U1" s="2181"/>
      <c r="V1" s="2181"/>
      <c r="W1" s="2181"/>
      <c r="X1" s="2181"/>
      <c r="Y1" s="2181"/>
      <c r="Z1" s="2181"/>
      <c r="AA1" s="2181"/>
      <c r="AB1" s="2181"/>
      <c r="AC1" s="2181"/>
      <c r="AD1" s="2181"/>
      <c r="AE1" s="2181"/>
      <c r="AF1" s="2182"/>
      <c r="AG1" s="2219" t="s">
        <v>126</v>
      </c>
      <c r="AH1" s="2219"/>
      <c r="AI1" s="2219"/>
      <c r="AJ1" s="2219"/>
      <c r="AK1" s="2219"/>
      <c r="AL1" s="2219"/>
      <c r="AM1" s="2219"/>
      <c r="AN1" s="2219"/>
      <c r="AO1" s="2219"/>
      <c r="AP1" s="2219"/>
      <c r="AQ1" s="2219"/>
      <c r="AR1" s="2219"/>
      <c r="AS1" s="2219"/>
      <c r="AT1" s="2219"/>
      <c r="AU1" s="2219"/>
      <c r="AV1" s="2219"/>
      <c r="AW1" s="2219" t="s">
        <v>126</v>
      </c>
      <c r="AX1" s="2219"/>
      <c r="AY1" s="2219"/>
      <c r="AZ1" s="2219"/>
      <c r="BA1" s="2219"/>
      <c r="BB1" s="2219"/>
      <c r="BC1" s="2219"/>
      <c r="BD1" s="2219"/>
      <c r="BE1" s="2219"/>
      <c r="BF1" s="2219"/>
      <c r="BG1" s="2219"/>
      <c r="BH1" s="2219"/>
      <c r="BI1" s="2219"/>
      <c r="BJ1" s="2219"/>
      <c r="BK1" s="2219"/>
      <c r="BL1" s="2219"/>
      <c r="BM1" s="2181" t="s">
        <v>126</v>
      </c>
      <c r="BN1" s="2181"/>
      <c r="BO1" s="2181"/>
      <c r="BP1" s="2181"/>
      <c r="BQ1" s="2181"/>
      <c r="BR1" s="2181"/>
      <c r="BS1" s="2181"/>
      <c r="BT1" s="2181"/>
      <c r="BU1" s="2181"/>
      <c r="BV1" s="2181"/>
      <c r="BW1" s="2181"/>
      <c r="BX1" s="2181"/>
      <c r="BY1" s="2181"/>
      <c r="BZ1" s="2181"/>
      <c r="CA1" s="2181"/>
      <c r="CB1" s="2181"/>
      <c r="CC1" s="2181" t="s">
        <v>126</v>
      </c>
      <c r="CD1" s="2181"/>
      <c r="CE1" s="2181"/>
      <c r="CF1" s="2181"/>
      <c r="CG1" s="2181"/>
      <c r="CH1" s="2181"/>
      <c r="CI1" s="2181"/>
      <c r="CJ1" s="2181"/>
      <c r="CK1" s="2181"/>
      <c r="CL1" s="2181"/>
      <c r="CM1" s="2181"/>
      <c r="CN1" s="2181"/>
      <c r="CO1" s="2181"/>
      <c r="CP1" s="2181"/>
      <c r="CQ1" s="2181"/>
      <c r="CR1" s="2182"/>
      <c r="CS1" s="2181" t="s">
        <v>126</v>
      </c>
      <c r="CT1" s="2181"/>
      <c r="CU1" s="2181"/>
      <c r="CV1" s="2181"/>
      <c r="CW1" s="2181"/>
      <c r="CX1" s="2181"/>
      <c r="CY1" s="2181"/>
      <c r="CZ1" s="2181"/>
      <c r="DA1" s="2181"/>
      <c r="DB1" s="2181"/>
      <c r="DC1" s="2181"/>
      <c r="DD1" s="2181"/>
      <c r="DE1" s="2181"/>
      <c r="DF1" s="2181"/>
      <c r="DG1" s="2181"/>
      <c r="DH1" s="2182"/>
    </row>
    <row r="2" spans="1:112" ht="15.75" thickBot="1" x14ac:dyDescent="0.3">
      <c r="A2" s="1" t="s">
        <v>7</v>
      </c>
      <c r="B2" s="2172"/>
      <c r="C2" s="2220">
        <v>45652</v>
      </c>
      <c r="D2" s="2220"/>
      <c r="E2" s="2220"/>
      <c r="F2" s="942" t="s">
        <v>3</v>
      </c>
      <c r="G2" s="2221">
        <f>C2+6</f>
        <v>45658</v>
      </c>
      <c r="H2" s="2221"/>
      <c r="I2" s="2221"/>
      <c r="J2" s="2191" t="s">
        <v>127</v>
      </c>
      <c r="K2" s="2191"/>
      <c r="L2" s="2191"/>
      <c r="M2" s="2191"/>
      <c r="N2" s="2191"/>
      <c r="O2" s="2191"/>
      <c r="P2" s="2191"/>
      <c r="Q2" s="1" t="s">
        <v>2</v>
      </c>
      <c r="R2" s="2183"/>
      <c r="S2" s="2185">
        <v>46142</v>
      </c>
      <c r="T2" s="2186"/>
      <c r="U2" s="2187"/>
      <c r="V2" s="942" t="s">
        <v>3</v>
      </c>
      <c r="W2" s="2188">
        <f>S2+6</f>
        <v>46148</v>
      </c>
      <c r="X2" s="2189"/>
      <c r="Y2" s="2190"/>
      <c r="Z2" s="2191" t="s">
        <v>128</v>
      </c>
      <c r="AA2" s="2191"/>
      <c r="AB2" s="2191"/>
      <c r="AC2" s="2191"/>
      <c r="AD2" s="2191"/>
      <c r="AE2" s="2191"/>
      <c r="AF2" s="2192"/>
      <c r="AG2" s="1014" t="s">
        <v>5</v>
      </c>
      <c r="AH2" s="2214"/>
      <c r="AI2" s="2216">
        <v>46205</v>
      </c>
      <c r="AJ2" s="2217"/>
      <c r="AK2" s="2218"/>
      <c r="AL2" s="1015" t="s">
        <v>3</v>
      </c>
      <c r="AM2" s="2216">
        <f>AI2+6</f>
        <v>46211</v>
      </c>
      <c r="AN2" s="2217"/>
      <c r="AO2" s="2218"/>
      <c r="AP2" s="2191" t="s">
        <v>129</v>
      </c>
      <c r="AQ2" s="2191"/>
      <c r="AR2" s="2191"/>
      <c r="AS2" s="2191"/>
      <c r="AT2" s="2191"/>
      <c r="AU2" s="2191"/>
      <c r="AV2" s="2192"/>
      <c r="AW2" s="1014" t="s">
        <v>5</v>
      </c>
      <c r="AX2" s="2214"/>
      <c r="AY2" s="2216">
        <v>46205</v>
      </c>
      <c r="AZ2" s="2217"/>
      <c r="BA2" s="2218"/>
      <c r="BB2" s="1015" t="s">
        <v>3</v>
      </c>
      <c r="BC2" s="2216">
        <f>AY2+6</f>
        <v>46211</v>
      </c>
      <c r="BD2" s="2217"/>
      <c r="BE2" s="2218"/>
      <c r="BF2" s="2191" t="s">
        <v>129</v>
      </c>
      <c r="BG2" s="2191"/>
      <c r="BH2" s="2191"/>
      <c r="BI2" s="2191"/>
      <c r="BJ2" s="2191"/>
      <c r="BK2" s="2191"/>
      <c r="BL2" s="2192"/>
      <c r="BM2" s="1" t="s">
        <v>87</v>
      </c>
      <c r="BN2" s="2210"/>
      <c r="BO2" s="2224">
        <v>46191</v>
      </c>
      <c r="BP2" s="2186"/>
      <c r="BQ2" s="2187"/>
      <c r="BR2" s="942" t="s">
        <v>3</v>
      </c>
      <c r="BS2" s="2188">
        <f>BO2+6</f>
        <v>46197</v>
      </c>
      <c r="BT2" s="2189"/>
      <c r="BU2" s="2190"/>
      <c r="BV2" s="2191" t="s">
        <v>130</v>
      </c>
      <c r="BW2" s="2191"/>
      <c r="BX2" s="2191"/>
      <c r="BY2" s="2191"/>
      <c r="BZ2" s="2191"/>
      <c r="CA2" s="2191"/>
      <c r="CB2" s="2192"/>
      <c r="CC2" s="1" t="s">
        <v>7</v>
      </c>
      <c r="CD2" s="2183"/>
      <c r="CE2" s="2185">
        <v>46198</v>
      </c>
      <c r="CF2" s="2186"/>
      <c r="CG2" s="2187"/>
      <c r="CH2" s="942" t="s">
        <v>3</v>
      </c>
      <c r="CI2" s="2188">
        <f>CE2+6</f>
        <v>46204</v>
      </c>
      <c r="CJ2" s="2189"/>
      <c r="CK2" s="2190"/>
      <c r="CL2" s="2191" t="s">
        <v>130</v>
      </c>
      <c r="CM2" s="2191"/>
      <c r="CN2" s="2191"/>
      <c r="CO2" s="2191"/>
      <c r="CP2" s="2191"/>
      <c r="CQ2" s="2191"/>
      <c r="CR2" s="2192"/>
      <c r="CS2" s="1" t="s">
        <v>7</v>
      </c>
      <c r="CT2" s="2183"/>
      <c r="CU2" s="2185">
        <v>46198</v>
      </c>
      <c r="CV2" s="2186"/>
      <c r="CW2" s="2187"/>
      <c r="CX2" s="942" t="s">
        <v>3</v>
      </c>
      <c r="CY2" s="2188">
        <f>CU2+6</f>
        <v>46204</v>
      </c>
      <c r="CZ2" s="2189"/>
      <c r="DA2" s="2190"/>
      <c r="DB2" s="2191" t="s">
        <v>130</v>
      </c>
      <c r="DC2" s="2191"/>
      <c r="DD2" s="2191"/>
      <c r="DE2" s="2191"/>
      <c r="DF2" s="2191"/>
      <c r="DG2" s="2191"/>
      <c r="DH2" s="2192"/>
    </row>
    <row r="3" spans="1:112" ht="15.75" thickBot="1" x14ac:dyDescent="0.3">
      <c r="A3" s="943"/>
      <c r="B3" s="2172"/>
      <c r="C3" s="2222" t="s">
        <v>9</v>
      </c>
      <c r="D3" s="2222"/>
      <c r="E3" s="2195" t="s">
        <v>10</v>
      </c>
      <c r="F3" s="2195"/>
      <c r="G3" s="2195" t="s">
        <v>11</v>
      </c>
      <c r="H3" s="2195"/>
      <c r="I3" s="2223" t="s">
        <v>12</v>
      </c>
      <c r="J3" s="2223"/>
      <c r="K3" s="2195" t="s">
        <v>13</v>
      </c>
      <c r="L3" s="2195"/>
      <c r="M3" s="2208" t="s">
        <v>14</v>
      </c>
      <c r="N3" s="2208"/>
      <c r="O3" s="2195" t="s">
        <v>15</v>
      </c>
      <c r="P3" s="2209"/>
      <c r="Q3" s="1009"/>
      <c r="R3" s="2184"/>
      <c r="S3" s="2193" t="s">
        <v>9</v>
      </c>
      <c r="T3" s="2194"/>
      <c r="U3" s="2200" t="s">
        <v>10</v>
      </c>
      <c r="V3" s="2201"/>
      <c r="W3" s="2195" t="s">
        <v>11</v>
      </c>
      <c r="X3" s="2194"/>
      <c r="Y3" s="2195" t="s">
        <v>12</v>
      </c>
      <c r="Z3" s="2194"/>
      <c r="AA3" s="2196" t="s">
        <v>13</v>
      </c>
      <c r="AB3" s="2197"/>
      <c r="AC3" s="2195" t="s">
        <v>14</v>
      </c>
      <c r="AD3" s="2194"/>
      <c r="AE3" s="2195" t="s">
        <v>15</v>
      </c>
      <c r="AF3" s="2194"/>
      <c r="AG3" s="1017"/>
      <c r="AH3" s="2215"/>
      <c r="AI3" s="2195" t="s">
        <v>9</v>
      </c>
      <c r="AJ3" s="2194"/>
      <c r="AK3" s="2195" t="s">
        <v>10</v>
      </c>
      <c r="AL3" s="2194"/>
      <c r="AM3" s="2195" t="s">
        <v>11</v>
      </c>
      <c r="AN3" s="2194"/>
      <c r="AO3" s="2195" t="s">
        <v>12</v>
      </c>
      <c r="AP3" s="2194"/>
      <c r="AQ3" s="2195" t="s">
        <v>13</v>
      </c>
      <c r="AR3" s="2194"/>
      <c r="AS3" s="2195" t="s">
        <v>14</v>
      </c>
      <c r="AT3" s="2194"/>
      <c r="AU3" s="2195" t="s">
        <v>15</v>
      </c>
      <c r="AV3" s="2194"/>
      <c r="AW3" s="1017"/>
      <c r="AX3" s="2215"/>
      <c r="AY3" s="2195" t="s">
        <v>9</v>
      </c>
      <c r="AZ3" s="2194"/>
      <c r="BA3" s="2195" t="s">
        <v>10</v>
      </c>
      <c r="BB3" s="2194"/>
      <c r="BC3" s="2195" t="s">
        <v>11</v>
      </c>
      <c r="BD3" s="2194"/>
      <c r="BE3" s="2195" t="s">
        <v>12</v>
      </c>
      <c r="BF3" s="2194"/>
      <c r="BG3" s="2195" t="s">
        <v>13</v>
      </c>
      <c r="BH3" s="2194"/>
      <c r="BI3" s="2195" t="s">
        <v>14</v>
      </c>
      <c r="BJ3" s="2194"/>
      <c r="BK3" s="2195" t="s">
        <v>15</v>
      </c>
      <c r="BL3" s="2194"/>
      <c r="BM3" s="1016"/>
      <c r="BN3" s="2211"/>
      <c r="BO3" s="2212" t="s">
        <v>9</v>
      </c>
      <c r="BP3" s="2213"/>
      <c r="BQ3" s="2212" t="s">
        <v>10</v>
      </c>
      <c r="BR3" s="2213"/>
      <c r="BS3" s="2212" t="s">
        <v>11</v>
      </c>
      <c r="BT3" s="2213"/>
      <c r="BU3" s="2212" t="s">
        <v>12</v>
      </c>
      <c r="BV3" s="2213"/>
      <c r="BW3" s="2195" t="s">
        <v>13</v>
      </c>
      <c r="BX3" s="2194"/>
      <c r="BY3" s="2195" t="s">
        <v>14</v>
      </c>
      <c r="BZ3" s="2194"/>
      <c r="CA3" s="2195" t="s">
        <v>15</v>
      </c>
      <c r="CB3" s="2194"/>
      <c r="CC3" s="1009"/>
      <c r="CD3" s="2184"/>
      <c r="CE3" s="2193" t="s">
        <v>9</v>
      </c>
      <c r="CF3" s="2194"/>
      <c r="CG3" s="2195" t="s">
        <v>10</v>
      </c>
      <c r="CH3" s="2194"/>
      <c r="CI3" s="2195" t="s">
        <v>11</v>
      </c>
      <c r="CJ3" s="2194"/>
      <c r="CK3" s="2195" t="s">
        <v>12</v>
      </c>
      <c r="CL3" s="2194"/>
      <c r="CM3" s="2196" t="s">
        <v>13</v>
      </c>
      <c r="CN3" s="2197"/>
      <c r="CO3" s="2195" t="s">
        <v>14</v>
      </c>
      <c r="CP3" s="2194"/>
      <c r="CQ3" s="2195" t="s">
        <v>15</v>
      </c>
      <c r="CR3" s="2194"/>
      <c r="CS3" s="1009"/>
      <c r="CT3" s="2184"/>
      <c r="CU3" s="2193" t="s">
        <v>9</v>
      </c>
      <c r="CV3" s="2194"/>
      <c r="CW3" s="2195" t="s">
        <v>10</v>
      </c>
      <c r="CX3" s="2194"/>
      <c r="CY3" s="2195" t="s">
        <v>11</v>
      </c>
      <c r="CZ3" s="2194"/>
      <c r="DA3" s="2195" t="s">
        <v>12</v>
      </c>
      <c r="DB3" s="2194"/>
      <c r="DC3" s="2196" t="s">
        <v>13</v>
      </c>
      <c r="DD3" s="2197"/>
      <c r="DE3" s="2195" t="s">
        <v>14</v>
      </c>
      <c r="DF3" s="2194"/>
      <c r="DG3" s="2195" t="s">
        <v>15</v>
      </c>
      <c r="DH3" s="2194"/>
    </row>
    <row r="4" spans="1:112" ht="15.75" thickBot="1" x14ac:dyDescent="0.3">
      <c r="A4" s="931" t="s">
        <v>16</v>
      </c>
      <c r="B4" s="105" t="s">
        <v>17</v>
      </c>
      <c r="C4" s="2204">
        <v>45652</v>
      </c>
      <c r="D4" s="2205"/>
      <c r="E4" s="2178">
        <f>C4+1</f>
        <v>45653</v>
      </c>
      <c r="F4" s="2178"/>
      <c r="G4" s="2178">
        <f>E4+1</f>
        <v>45654</v>
      </c>
      <c r="H4" s="2178"/>
      <c r="I4" s="2178">
        <f>G4+1</f>
        <v>45655</v>
      </c>
      <c r="J4" s="2178"/>
      <c r="K4" s="2178">
        <f>I4+1</f>
        <v>45656</v>
      </c>
      <c r="L4" s="2178"/>
      <c r="M4" s="2206">
        <f>K4+1</f>
        <v>45657</v>
      </c>
      <c r="N4" s="2206"/>
      <c r="O4" s="2178">
        <f>M4+1</f>
        <v>45658</v>
      </c>
      <c r="P4" s="2207"/>
      <c r="Q4" s="1010" t="s">
        <v>16</v>
      </c>
      <c r="R4" s="105" t="s">
        <v>17</v>
      </c>
      <c r="S4" s="2178">
        <v>46198</v>
      </c>
      <c r="T4" s="2179"/>
      <c r="U4" s="2198">
        <f>S4+1</f>
        <v>46199</v>
      </c>
      <c r="V4" s="2199"/>
      <c r="W4" s="2178">
        <f>U4+1</f>
        <v>46200</v>
      </c>
      <c r="X4" s="2179"/>
      <c r="Y4" s="2180">
        <f>W4+1</f>
        <v>46201</v>
      </c>
      <c r="Z4" s="2180"/>
      <c r="AA4" s="2178">
        <f>Y4+1</f>
        <v>46202</v>
      </c>
      <c r="AB4" s="2180"/>
      <c r="AC4" s="2178">
        <f>AA4+1</f>
        <v>46203</v>
      </c>
      <c r="AD4" s="2179"/>
      <c r="AE4" s="2178">
        <f>AC4+1</f>
        <v>46204</v>
      </c>
      <c r="AF4" s="2179"/>
      <c r="AG4" s="1019" t="s">
        <v>16</v>
      </c>
      <c r="AH4" s="1020" t="s">
        <v>17</v>
      </c>
      <c r="AI4" s="2178">
        <v>46205</v>
      </c>
      <c r="AJ4" s="2179"/>
      <c r="AK4" s="2178">
        <f>AI4+1</f>
        <v>46206</v>
      </c>
      <c r="AL4" s="2179"/>
      <c r="AM4" s="2178">
        <f>AK4+1</f>
        <v>46207</v>
      </c>
      <c r="AN4" s="2179"/>
      <c r="AO4" s="2178">
        <f>AM4+1</f>
        <v>46208</v>
      </c>
      <c r="AP4" s="2179"/>
      <c r="AQ4" s="2178">
        <f>AO4+1</f>
        <v>46209</v>
      </c>
      <c r="AR4" s="2179"/>
      <c r="AS4" s="2178">
        <f>AQ4+1</f>
        <v>46210</v>
      </c>
      <c r="AT4" s="2179"/>
      <c r="AU4" s="2178">
        <f>AS4+1</f>
        <v>46211</v>
      </c>
      <c r="AV4" s="2179"/>
      <c r="AW4" s="1019" t="s">
        <v>16</v>
      </c>
      <c r="AX4" s="1020" t="s">
        <v>17</v>
      </c>
      <c r="AY4" s="2178">
        <v>46205</v>
      </c>
      <c r="AZ4" s="2179"/>
      <c r="BA4" s="2178">
        <f>AY4+1</f>
        <v>46206</v>
      </c>
      <c r="BB4" s="2179"/>
      <c r="BC4" s="2178">
        <f>BA4+1</f>
        <v>46207</v>
      </c>
      <c r="BD4" s="2179"/>
      <c r="BE4" s="2178">
        <f>BC4+1</f>
        <v>46208</v>
      </c>
      <c r="BF4" s="2179"/>
      <c r="BG4" s="2178">
        <f>BE4+1</f>
        <v>46209</v>
      </c>
      <c r="BH4" s="2179"/>
      <c r="BI4" s="2178">
        <f>BG4+1</f>
        <v>46210</v>
      </c>
      <c r="BJ4" s="2179"/>
      <c r="BK4" s="2178">
        <f>BI4+1</f>
        <v>46211</v>
      </c>
      <c r="BL4" s="2179"/>
      <c r="BM4" s="931" t="s">
        <v>16</v>
      </c>
      <c r="BN4" s="1018" t="s">
        <v>17</v>
      </c>
      <c r="BO4" s="2202">
        <v>46212</v>
      </c>
      <c r="BP4" s="2203"/>
      <c r="BQ4" s="2202">
        <f>BO4+1</f>
        <v>46213</v>
      </c>
      <c r="BR4" s="2203"/>
      <c r="BS4" s="2202">
        <f>BQ4+1</f>
        <v>46214</v>
      </c>
      <c r="BT4" s="2203"/>
      <c r="BU4" s="2202">
        <f>BS4+1</f>
        <v>46215</v>
      </c>
      <c r="BV4" s="2203"/>
      <c r="BW4" s="2178">
        <f>BU4+1</f>
        <v>46216</v>
      </c>
      <c r="BX4" s="2179"/>
      <c r="BY4" s="2180">
        <f>BW4+1</f>
        <v>46217</v>
      </c>
      <c r="BZ4" s="2179"/>
      <c r="CA4" s="2178">
        <f>BY4+1</f>
        <v>46218</v>
      </c>
      <c r="CB4" s="2179"/>
      <c r="CC4" s="1010" t="s">
        <v>16</v>
      </c>
      <c r="CD4" s="105" t="s">
        <v>17</v>
      </c>
      <c r="CE4" s="2178">
        <v>46219</v>
      </c>
      <c r="CF4" s="2179"/>
      <c r="CG4" s="2178">
        <f>CE4+1</f>
        <v>46220</v>
      </c>
      <c r="CH4" s="2180"/>
      <c r="CI4" s="2178">
        <f>CG4+1</f>
        <v>46221</v>
      </c>
      <c r="CJ4" s="2179"/>
      <c r="CK4" s="2180">
        <f>CI4+1</f>
        <v>46222</v>
      </c>
      <c r="CL4" s="2180"/>
      <c r="CM4" s="2178">
        <f>CK4+1</f>
        <v>46223</v>
      </c>
      <c r="CN4" s="2180"/>
      <c r="CO4" s="2178">
        <f>CM4+1</f>
        <v>46224</v>
      </c>
      <c r="CP4" s="2179"/>
      <c r="CQ4" s="2178">
        <f>CO4+1</f>
        <v>46225</v>
      </c>
      <c r="CR4" s="2179"/>
      <c r="CS4" s="1010" t="s">
        <v>16</v>
      </c>
      <c r="CT4" s="105" t="s">
        <v>17</v>
      </c>
      <c r="CU4" s="2178">
        <v>46226</v>
      </c>
      <c r="CV4" s="2179"/>
      <c r="CW4" s="2178">
        <f>CU4+1</f>
        <v>46227</v>
      </c>
      <c r="CX4" s="2180"/>
      <c r="CY4" s="2178">
        <f>CW4+1</f>
        <v>46228</v>
      </c>
      <c r="CZ4" s="2179"/>
      <c r="DA4" s="2180">
        <f>CY4+1</f>
        <v>46229</v>
      </c>
      <c r="DB4" s="2180"/>
      <c r="DC4" s="2178">
        <f>DA4+1</f>
        <v>46230</v>
      </c>
      <c r="DD4" s="2180"/>
      <c r="DE4" s="2178">
        <f>DC4+1</f>
        <v>46231</v>
      </c>
      <c r="DF4" s="2179"/>
      <c r="DG4" s="2178">
        <f>DE4+1</f>
        <v>46232</v>
      </c>
      <c r="DH4" s="2179"/>
    </row>
    <row r="5" spans="1:112" ht="15.75" hidden="1" x14ac:dyDescent="0.25">
      <c r="A5" s="944" t="s">
        <v>131</v>
      </c>
      <c r="B5" s="945" t="s">
        <v>19</v>
      </c>
      <c r="C5" s="1021" t="s">
        <v>132</v>
      </c>
      <c r="D5" s="1022" t="s">
        <v>132</v>
      </c>
      <c r="E5" s="1022" t="s">
        <v>132</v>
      </c>
      <c r="F5" s="1022" t="s">
        <v>132</v>
      </c>
      <c r="G5" s="1022" t="s">
        <v>132</v>
      </c>
      <c r="H5" s="1022" t="s">
        <v>132</v>
      </c>
      <c r="I5" s="1022" t="s">
        <v>132</v>
      </c>
      <c r="J5" s="1022" t="s">
        <v>132</v>
      </c>
      <c r="K5" s="1023" t="s">
        <v>95</v>
      </c>
      <c r="L5" s="1023" t="s">
        <v>95</v>
      </c>
      <c r="M5" s="1024"/>
      <c r="N5" s="1024"/>
      <c r="O5" s="1025">
        <v>0.75</v>
      </c>
      <c r="P5" s="1026">
        <v>4.1666666666666664E-2</v>
      </c>
      <c r="Q5" s="1177" t="s">
        <v>131</v>
      </c>
      <c r="R5" s="945" t="s">
        <v>19</v>
      </c>
      <c r="S5" s="1397">
        <v>0.79166666666666663</v>
      </c>
      <c r="T5" s="1391">
        <v>8.3333333333333329E-2</v>
      </c>
      <c r="U5" s="1393" t="s">
        <v>94</v>
      </c>
      <c r="V5" s="1192" t="s">
        <v>94</v>
      </c>
      <c r="W5" s="1310" t="s">
        <v>95</v>
      </c>
      <c r="X5" s="1310" t="s">
        <v>95</v>
      </c>
      <c r="Y5" s="1233">
        <v>0.6875</v>
      </c>
      <c r="Z5" s="1356">
        <v>0</v>
      </c>
      <c r="AA5" s="1343">
        <v>0.6875</v>
      </c>
      <c r="AB5" s="1235">
        <v>0</v>
      </c>
      <c r="AC5" s="1344">
        <v>0.54166666666666663</v>
      </c>
      <c r="AD5" s="1344">
        <v>0.875</v>
      </c>
      <c r="AE5" s="1345">
        <v>0.45833333333333331</v>
      </c>
      <c r="AF5" s="1346">
        <v>0.79166666666666663</v>
      </c>
      <c r="AG5" s="1177" t="s">
        <v>131</v>
      </c>
      <c r="AH5" s="1119" t="s">
        <v>19</v>
      </c>
      <c r="AI5" s="1193">
        <v>0.64583333333333337</v>
      </c>
      <c r="AJ5" s="1193">
        <v>0.96527777777777779</v>
      </c>
      <c r="AK5" s="1193">
        <v>0.64583333333333337</v>
      </c>
      <c r="AL5" s="1193">
        <v>0.96527777777777779</v>
      </c>
      <c r="AM5" s="1193">
        <v>0.64583333333333337</v>
      </c>
      <c r="AN5" s="1193">
        <v>0.96527777777777779</v>
      </c>
      <c r="AO5" s="1192" t="s">
        <v>90</v>
      </c>
      <c r="AP5" s="1192" t="s">
        <v>90</v>
      </c>
      <c r="AQ5" s="1310" t="s">
        <v>91</v>
      </c>
      <c r="AR5" s="1310" t="s">
        <v>91</v>
      </c>
      <c r="AS5" s="1193">
        <v>0.64583333333333337</v>
      </c>
      <c r="AT5" s="1193">
        <v>0.96527777777777779</v>
      </c>
      <c r="AU5" s="1193">
        <v>0.64583333333333337</v>
      </c>
      <c r="AV5" s="1193">
        <v>0.96527777777777779</v>
      </c>
      <c r="AW5" s="1177" t="s">
        <v>131</v>
      </c>
      <c r="AX5" s="1119" t="s">
        <v>19</v>
      </c>
      <c r="AY5" s="1193">
        <v>0.64583333333333337</v>
      </c>
      <c r="AZ5" s="1193">
        <v>0.96527777777777779</v>
      </c>
      <c r="BA5" s="1193">
        <v>0.64583333333333337</v>
      </c>
      <c r="BB5" s="1193">
        <v>0.96527777777777779</v>
      </c>
      <c r="BC5" s="1193">
        <v>0.64583333333333337</v>
      </c>
      <c r="BD5" s="1193">
        <v>0.96527777777777779</v>
      </c>
      <c r="BE5" s="1192" t="s">
        <v>90</v>
      </c>
      <c r="BF5" s="1192" t="s">
        <v>90</v>
      </c>
      <c r="BG5" s="1310" t="s">
        <v>91</v>
      </c>
      <c r="BH5" s="1310" t="s">
        <v>91</v>
      </c>
      <c r="BI5" s="1193">
        <v>0.64583333333333337</v>
      </c>
      <c r="BJ5" s="1193">
        <v>0.96527777777777779</v>
      </c>
      <c r="BK5" s="1193">
        <v>0.64583333333333337</v>
      </c>
      <c r="BL5" s="1193">
        <v>0.96527777777777779</v>
      </c>
      <c r="BM5" s="1177" t="s">
        <v>131</v>
      </c>
      <c r="BN5" s="1635" t="s">
        <v>19</v>
      </c>
      <c r="BO5" s="1605"/>
      <c r="BP5" s="1606"/>
      <c r="BQ5" s="1607"/>
      <c r="BR5" s="1598"/>
      <c r="BS5" s="1579"/>
      <c r="BT5" s="1579"/>
      <c r="BU5" s="1598"/>
      <c r="BV5" s="1608"/>
      <c r="BW5" s="1609"/>
      <c r="BX5" s="1610"/>
      <c r="BY5" s="1611"/>
      <c r="BZ5" s="1611"/>
      <c r="CA5" s="1579"/>
      <c r="CB5" s="1579"/>
      <c r="CC5" s="1177" t="s">
        <v>131</v>
      </c>
      <c r="CD5" s="945" t="s">
        <v>19</v>
      </c>
      <c r="CE5" s="1448"/>
      <c r="CF5" s="1390"/>
      <c r="CG5" s="1449"/>
      <c r="CH5" s="1233"/>
      <c r="CI5" s="1232"/>
      <c r="CJ5" s="1232"/>
      <c r="CK5" s="1233"/>
      <c r="CL5" s="1356"/>
      <c r="CM5" s="1443"/>
      <c r="CN5" s="1444"/>
      <c r="CO5" s="1450"/>
      <c r="CP5" s="1450"/>
      <c r="CQ5" s="1232"/>
      <c r="CR5" s="1232"/>
      <c r="CS5" s="1177" t="s">
        <v>131</v>
      </c>
      <c r="CT5" s="945" t="s">
        <v>19</v>
      </c>
      <c r="CU5" s="1448"/>
      <c r="CV5" s="1390"/>
      <c r="CW5" s="1449"/>
      <c r="CX5" s="1233"/>
      <c r="CY5" s="1232"/>
      <c r="CZ5" s="1232"/>
      <c r="DA5" s="1233"/>
      <c r="DB5" s="1356"/>
      <c r="DC5" s="1443"/>
      <c r="DD5" s="1444"/>
      <c r="DE5" s="1450"/>
      <c r="DF5" s="1450"/>
      <c r="DG5" s="1232"/>
      <c r="DH5" s="1232"/>
    </row>
    <row r="6" spans="1:112" ht="15.75" x14ac:dyDescent="0.25">
      <c r="A6" s="947" t="s">
        <v>133</v>
      </c>
      <c r="B6" s="948" t="s">
        <v>19</v>
      </c>
      <c r="C6" s="1028">
        <v>0.64583333333333337</v>
      </c>
      <c r="D6" s="1011">
        <v>0.96527777777777779</v>
      </c>
      <c r="E6" s="946" t="s">
        <v>94</v>
      </c>
      <c r="F6" s="946" t="s">
        <v>94</v>
      </c>
      <c r="G6" s="946" t="s">
        <v>95</v>
      </c>
      <c r="H6" s="946" t="s">
        <v>95</v>
      </c>
      <c r="I6" s="1029">
        <v>0.45833333333333331</v>
      </c>
      <c r="J6" s="1029">
        <v>0.79166666666666663</v>
      </c>
      <c r="K6" s="1030">
        <v>0.79166666666666663</v>
      </c>
      <c r="L6" s="1030">
        <v>8.3333333333333329E-2</v>
      </c>
      <c r="M6" s="1031"/>
      <c r="N6" s="1031"/>
      <c r="O6" s="946" t="s">
        <v>90</v>
      </c>
      <c r="P6" s="1032" t="s">
        <v>90</v>
      </c>
      <c r="Q6" s="1178" t="s">
        <v>133</v>
      </c>
      <c r="R6" s="948" t="s">
        <v>19</v>
      </c>
      <c r="S6" s="1367">
        <v>0.64583333333333337</v>
      </c>
      <c r="T6" s="1233">
        <v>0.96527777777777779</v>
      </c>
      <c r="U6" s="1233">
        <v>0.54166666666666663</v>
      </c>
      <c r="V6" s="1233">
        <v>0.875</v>
      </c>
      <c r="W6" s="1310" t="s">
        <v>95</v>
      </c>
      <c r="X6" s="1310" t="s">
        <v>95</v>
      </c>
      <c r="Y6" s="1233">
        <v>0.58333333333333337</v>
      </c>
      <c r="Z6" s="1356">
        <v>0.90972222222222221</v>
      </c>
      <c r="AA6" s="1347">
        <v>0.45833333333333331</v>
      </c>
      <c r="AB6" s="1029">
        <v>0.79166666666666663</v>
      </c>
      <c r="AC6" s="1193">
        <v>0.6875</v>
      </c>
      <c r="AD6" s="1193">
        <v>0</v>
      </c>
      <c r="AE6" s="1030">
        <v>0.79166666666666663</v>
      </c>
      <c r="AF6" s="1348">
        <v>8.3333333333333329E-2</v>
      </c>
      <c r="AG6" s="1178" t="s">
        <v>133</v>
      </c>
      <c r="AH6" s="1120" t="s">
        <v>19</v>
      </c>
      <c r="AI6" s="1237">
        <v>0.625</v>
      </c>
      <c r="AJ6" s="1237">
        <v>0.94444444444444442</v>
      </c>
      <c r="AK6" s="1234">
        <v>0.45833333333333331</v>
      </c>
      <c r="AL6" s="1234">
        <v>0.79166666666666663</v>
      </c>
      <c r="AM6" s="1310" t="s">
        <v>90</v>
      </c>
      <c r="AN6" s="1310" t="s">
        <v>90</v>
      </c>
      <c r="AO6" s="1192" t="s">
        <v>91</v>
      </c>
      <c r="AP6" s="1192" t="s">
        <v>91</v>
      </c>
      <c r="AQ6" s="1193">
        <v>0.54166666666666663</v>
      </c>
      <c r="AR6" s="1193">
        <v>0.875</v>
      </c>
      <c r="AS6" s="1193">
        <v>0.66666666666666663</v>
      </c>
      <c r="AT6" s="1193">
        <v>0.97916666666666663</v>
      </c>
      <c r="AU6" s="1193">
        <v>0.6875</v>
      </c>
      <c r="AV6" s="1193">
        <v>0</v>
      </c>
      <c r="AW6" s="1178" t="s">
        <v>133</v>
      </c>
      <c r="AX6" s="1120" t="s">
        <v>19</v>
      </c>
      <c r="AY6" s="1237">
        <v>0.625</v>
      </c>
      <c r="AZ6" s="1237">
        <v>0.94444444444444442</v>
      </c>
      <c r="BA6" s="1234">
        <v>0.45833333333333331</v>
      </c>
      <c r="BB6" s="1234">
        <v>0.79166666666666663</v>
      </c>
      <c r="BC6" s="1310" t="s">
        <v>90</v>
      </c>
      <c r="BD6" s="1310" t="s">
        <v>90</v>
      </c>
      <c r="BE6" s="1192" t="s">
        <v>91</v>
      </c>
      <c r="BF6" s="1192" t="s">
        <v>91</v>
      </c>
      <c r="BG6" s="1193">
        <v>0.54166666666666663</v>
      </c>
      <c r="BH6" s="1193">
        <v>0.875</v>
      </c>
      <c r="BI6" s="1193">
        <v>0.66666666666666663</v>
      </c>
      <c r="BJ6" s="1193">
        <v>0.97916666666666663</v>
      </c>
      <c r="BK6" s="1193">
        <v>0.6875</v>
      </c>
      <c r="BL6" s="1193">
        <v>0</v>
      </c>
      <c r="BM6" s="947" t="s">
        <v>133</v>
      </c>
      <c r="BN6" s="1636" t="s">
        <v>19</v>
      </c>
      <c r="BO6" s="1632">
        <v>0.64583333333333337</v>
      </c>
      <c r="BP6" s="1617">
        <v>0.96527777777777779</v>
      </c>
      <c r="BQ6" s="1617">
        <v>0.64583333333333337</v>
      </c>
      <c r="BR6" s="1617">
        <v>0.96527777777777779</v>
      </c>
      <c r="BS6" s="1618" t="s">
        <v>92</v>
      </c>
      <c r="BT6" s="1618" t="s">
        <v>92</v>
      </c>
      <c r="BU6" s="1617">
        <v>0.625</v>
      </c>
      <c r="BV6" s="1617">
        <v>0.94444444444444442</v>
      </c>
      <c r="BW6" s="1060">
        <v>0.79166666666666663</v>
      </c>
      <c r="BX6" s="1060">
        <v>8.3333333333333329E-2</v>
      </c>
      <c r="BY6" s="1619">
        <v>0.64583333333333337</v>
      </c>
      <c r="BZ6" s="1619">
        <v>0.96527777777777779</v>
      </c>
      <c r="CA6" s="1620">
        <v>0.47916666666666669</v>
      </c>
      <c r="CB6" s="1621">
        <v>0.8125</v>
      </c>
      <c r="CC6" s="947" t="s">
        <v>133</v>
      </c>
      <c r="CD6" s="1783" t="s">
        <v>19</v>
      </c>
      <c r="CE6" s="1234">
        <v>0.47916666666666669</v>
      </c>
      <c r="CF6" s="1234">
        <v>0.8125</v>
      </c>
      <c r="CG6" s="1038" t="s">
        <v>93</v>
      </c>
      <c r="CH6" s="1038" t="s">
        <v>93</v>
      </c>
      <c r="CI6" s="1111">
        <v>0.85416666666666663</v>
      </c>
      <c r="CJ6" s="1111">
        <v>0.14583333333333334</v>
      </c>
      <c r="CK6" s="1617">
        <v>0.64583333333333337</v>
      </c>
      <c r="CL6" s="1687">
        <v>0.96527777777777779</v>
      </c>
      <c r="CM6" s="1113">
        <v>0.39583333333333331</v>
      </c>
      <c r="CN6" s="1113">
        <v>0.72916666666666663</v>
      </c>
      <c r="CO6" s="1113">
        <v>0.39583333333333331</v>
      </c>
      <c r="CP6" s="1113">
        <v>0.72916666666666663</v>
      </c>
      <c r="CQ6" s="1111">
        <v>0.79166666666666663</v>
      </c>
      <c r="CR6" s="1111">
        <v>8.3333333333333329E-2</v>
      </c>
      <c r="CS6" s="1178" t="s">
        <v>133</v>
      </c>
      <c r="CT6" s="948" t="s">
        <v>19</v>
      </c>
      <c r="CU6" s="1367"/>
      <c r="CV6" s="1233"/>
      <c r="CW6" s="1233"/>
      <c r="CX6" s="1233"/>
      <c r="CY6" s="1232"/>
      <c r="CZ6" s="1232"/>
      <c r="DA6" s="1233"/>
      <c r="DB6" s="1356"/>
      <c r="DC6" s="1208"/>
      <c r="DD6" s="1033"/>
      <c r="DE6" s="1232"/>
      <c r="DF6" s="1232"/>
      <c r="DG6" s="1232"/>
      <c r="DH6" s="1232"/>
    </row>
    <row r="7" spans="1:112" ht="15.75" x14ac:dyDescent="0.25">
      <c r="A7" s="950" t="s">
        <v>134</v>
      </c>
      <c r="B7" s="948" t="s">
        <v>19</v>
      </c>
      <c r="C7" s="949" t="s">
        <v>94</v>
      </c>
      <c r="D7" s="946" t="s">
        <v>94</v>
      </c>
      <c r="E7" s="946" t="s">
        <v>95</v>
      </c>
      <c r="F7" s="946" t="s">
        <v>95</v>
      </c>
      <c r="G7" s="1029">
        <v>0.45833333333333331</v>
      </c>
      <c r="H7" s="1029">
        <v>0.79166666666666663</v>
      </c>
      <c r="I7" s="1033">
        <v>0.58333333333333337</v>
      </c>
      <c r="J7" s="1033">
        <v>0.90972222222222221</v>
      </c>
      <c r="K7" s="1033">
        <v>0.6875</v>
      </c>
      <c r="L7" s="1033">
        <v>0</v>
      </c>
      <c r="M7" s="1031"/>
      <c r="N7" s="1031"/>
      <c r="O7" s="946" t="s">
        <v>90</v>
      </c>
      <c r="P7" s="1032" t="s">
        <v>90</v>
      </c>
      <c r="Q7" s="1179" t="s">
        <v>134</v>
      </c>
      <c r="R7" s="948" t="s">
        <v>19</v>
      </c>
      <c r="S7" s="1398" t="s">
        <v>95</v>
      </c>
      <c r="T7" s="946" t="s">
        <v>95</v>
      </c>
      <c r="U7" s="1313">
        <v>0.45833333333333331</v>
      </c>
      <c r="V7" s="1313">
        <v>0.79166666666666663</v>
      </c>
      <c r="W7" s="1033">
        <v>0.58333333333333337</v>
      </c>
      <c r="X7" s="1390">
        <v>0.90972222222222221</v>
      </c>
      <c r="Y7" s="1392">
        <v>0.54166666666666663</v>
      </c>
      <c r="Z7" s="1357">
        <v>0.875</v>
      </c>
      <c r="AA7" s="1349">
        <v>0.64583333333333337</v>
      </c>
      <c r="AB7" s="1193">
        <v>0.96527777777777779</v>
      </c>
      <c r="AC7" s="1193">
        <v>0.64583333333333337</v>
      </c>
      <c r="AD7" s="1193">
        <v>0.96527777777777779</v>
      </c>
      <c r="AE7" s="1310" t="s">
        <v>90</v>
      </c>
      <c r="AF7" s="1350" t="s">
        <v>90</v>
      </c>
      <c r="AG7" s="1179" t="s">
        <v>134</v>
      </c>
      <c r="AH7" s="1120" t="s">
        <v>19</v>
      </c>
      <c r="AI7" s="1237">
        <v>0.66666666666666663</v>
      </c>
      <c r="AJ7" s="1237">
        <v>0.97916666666666663</v>
      </c>
      <c r="AK7" s="1237">
        <v>0.6875</v>
      </c>
      <c r="AL7" s="1237">
        <v>0</v>
      </c>
      <c r="AM7" s="1237">
        <v>0.6875</v>
      </c>
      <c r="AN7" s="1237">
        <v>0</v>
      </c>
      <c r="AO7" s="1310" t="s">
        <v>91</v>
      </c>
      <c r="AP7" s="1310" t="s">
        <v>91</v>
      </c>
      <c r="AQ7" s="1310" t="s">
        <v>92</v>
      </c>
      <c r="AR7" s="1310" t="s">
        <v>92</v>
      </c>
      <c r="AS7" s="1237">
        <v>0.66666666666666663</v>
      </c>
      <c r="AT7" s="1237">
        <v>0.97916666666666663</v>
      </c>
      <c r="AU7" s="1237">
        <v>0.54166666666666663</v>
      </c>
      <c r="AV7" s="1237">
        <v>0.875</v>
      </c>
      <c r="AW7" s="1179" t="s">
        <v>134</v>
      </c>
      <c r="AX7" s="1120" t="s">
        <v>19</v>
      </c>
      <c r="AY7" s="1237">
        <v>0.66666666666666663</v>
      </c>
      <c r="AZ7" s="1237">
        <v>0.97916666666666663</v>
      </c>
      <c r="BA7" s="1237">
        <v>0.6875</v>
      </c>
      <c r="BB7" s="1237">
        <v>0</v>
      </c>
      <c r="BC7" s="1237">
        <v>0.6875</v>
      </c>
      <c r="BD7" s="1237">
        <v>0</v>
      </c>
      <c r="BE7" s="1310" t="s">
        <v>91</v>
      </c>
      <c r="BF7" s="1310" t="s">
        <v>91</v>
      </c>
      <c r="BG7" s="1310" t="s">
        <v>92</v>
      </c>
      <c r="BH7" s="1310" t="s">
        <v>92</v>
      </c>
      <c r="BI7" s="1237">
        <v>0.66666666666666663</v>
      </c>
      <c r="BJ7" s="1237">
        <v>0.97916666666666663</v>
      </c>
      <c r="BK7" s="1237">
        <v>0.54166666666666663</v>
      </c>
      <c r="BL7" s="1237">
        <v>0.875</v>
      </c>
      <c r="BM7" s="950" t="s">
        <v>134</v>
      </c>
      <c r="BN7" s="1637" t="s">
        <v>19</v>
      </c>
      <c r="BO7" s="1451">
        <v>0.64583333333333337</v>
      </c>
      <c r="BP7" s="1129">
        <v>0.96527777777777779</v>
      </c>
      <c r="BQ7" s="1129">
        <v>0.6875</v>
      </c>
      <c r="BR7" s="1129">
        <v>0</v>
      </c>
      <c r="BS7" s="1029">
        <v>0.39583333333333331</v>
      </c>
      <c r="BT7" s="1029">
        <v>0.72916666666666663</v>
      </c>
      <c r="BU7" s="1033">
        <v>0.64583333333333337</v>
      </c>
      <c r="BV7" s="1033">
        <v>0.96527777777777779</v>
      </c>
      <c r="BW7" s="1038" t="s">
        <v>93</v>
      </c>
      <c r="BX7" s="1038" t="s">
        <v>93</v>
      </c>
      <c r="BY7" s="1011">
        <v>0.6875</v>
      </c>
      <c r="BZ7" s="1011">
        <v>0</v>
      </c>
      <c r="CA7" s="1011">
        <v>0.54166666666666663</v>
      </c>
      <c r="CB7" s="1622">
        <v>0.875</v>
      </c>
      <c r="CC7" s="950" t="s">
        <v>134</v>
      </c>
      <c r="CD7" s="1784" t="s">
        <v>19</v>
      </c>
      <c r="CE7" s="1688">
        <v>0.66666666666666663</v>
      </c>
      <c r="CF7" s="1129">
        <v>0.97916666666666663</v>
      </c>
      <c r="CG7" s="1697" t="s">
        <v>135</v>
      </c>
      <c r="CH7" s="1697" t="s">
        <v>136</v>
      </c>
      <c r="CI7" s="1111">
        <v>0.79166666666666663</v>
      </c>
      <c r="CJ7" s="1111">
        <v>8.3333333333333329E-2</v>
      </c>
      <c r="CK7" s="1033">
        <v>0.58333333333333337</v>
      </c>
      <c r="CL7" s="1624">
        <v>0.90972222222222221</v>
      </c>
      <c r="CM7" s="1448">
        <v>0.45833333333333331</v>
      </c>
      <c r="CN7" s="1033">
        <v>0.79166666666666663</v>
      </c>
      <c r="CO7" s="1700" t="s">
        <v>94</v>
      </c>
      <c r="CP7" s="1700" t="s">
        <v>94</v>
      </c>
      <c r="CQ7" s="1011">
        <v>0.64583333333333337</v>
      </c>
      <c r="CR7" s="1622">
        <v>0.96527777777777779</v>
      </c>
      <c r="CS7" s="1179" t="s">
        <v>134</v>
      </c>
      <c r="CT7" s="948" t="s">
        <v>19</v>
      </c>
      <c r="CU7" s="1451"/>
      <c r="CV7" s="1129"/>
      <c r="CW7" s="1129"/>
      <c r="CX7" s="1129"/>
      <c r="CY7" s="1033"/>
      <c r="CZ7" s="1390"/>
      <c r="DA7" s="1447"/>
      <c r="DB7" s="1452"/>
      <c r="DC7" s="1453"/>
      <c r="DD7" s="1232"/>
      <c r="DE7" s="1232"/>
      <c r="DF7" s="1232"/>
      <c r="DG7" s="1033"/>
      <c r="DH7" s="1390"/>
    </row>
    <row r="8" spans="1:112" ht="15.75" x14ac:dyDescent="0.25">
      <c r="A8" s="951" t="s">
        <v>137</v>
      </c>
      <c r="B8" s="948" t="s">
        <v>19</v>
      </c>
      <c r="C8" s="952">
        <v>0.41666666666666669</v>
      </c>
      <c r="D8" s="1029">
        <v>0.75</v>
      </c>
      <c r="E8" s="946" t="s">
        <v>95</v>
      </c>
      <c r="F8" s="946" t="s">
        <v>95</v>
      </c>
      <c r="G8" s="1030">
        <v>0.79166666666666663</v>
      </c>
      <c r="H8" s="1030">
        <v>8.3333333333333329E-2</v>
      </c>
      <c r="I8" s="1012">
        <v>0.64583333333333337</v>
      </c>
      <c r="J8" s="1011">
        <v>0.96527777777777779</v>
      </c>
      <c r="K8" s="1034">
        <v>0.58333333333333337</v>
      </c>
      <c r="L8" s="1035">
        <v>0.90972222222222221</v>
      </c>
      <c r="M8" s="1036"/>
      <c r="N8" s="1036"/>
      <c r="O8" s="1011">
        <v>0.75</v>
      </c>
      <c r="P8" s="1037">
        <v>4.1666666666666664E-2</v>
      </c>
      <c r="Q8" s="1180" t="s">
        <v>137</v>
      </c>
      <c r="R8" s="948" t="s">
        <v>19</v>
      </c>
      <c r="S8" s="1275">
        <v>0.54166666666666663</v>
      </c>
      <c r="T8" s="1193">
        <v>0.875</v>
      </c>
      <c r="U8" s="1233">
        <v>0.64583333333333337</v>
      </c>
      <c r="V8" s="1233">
        <v>0.96527777777777779</v>
      </c>
      <c r="W8" s="1030">
        <v>0.79166666666666663</v>
      </c>
      <c r="X8" s="1391">
        <v>8.3333333333333329E-2</v>
      </c>
      <c r="Y8" s="1393" t="s">
        <v>94</v>
      </c>
      <c r="Z8" s="1358" t="s">
        <v>94</v>
      </c>
      <c r="AA8" s="1351" t="s">
        <v>95</v>
      </c>
      <c r="AB8" s="1310" t="s">
        <v>95</v>
      </c>
      <c r="AC8" s="1029">
        <v>0.45833333333333331</v>
      </c>
      <c r="AD8" s="1029">
        <v>0.79166666666666663</v>
      </c>
      <c r="AE8" s="1193">
        <v>0.54166666666666663</v>
      </c>
      <c r="AF8" s="1352">
        <v>0.875</v>
      </c>
      <c r="AG8" s="1180" t="s">
        <v>137</v>
      </c>
      <c r="AH8" s="1120" t="s">
        <v>19</v>
      </c>
      <c r="AI8" s="1310" t="s">
        <v>90</v>
      </c>
      <c r="AJ8" s="1310" t="s">
        <v>90</v>
      </c>
      <c r="AK8" s="1192" t="s">
        <v>91</v>
      </c>
      <c r="AL8" s="1192" t="s">
        <v>91</v>
      </c>
      <c r="AM8" s="1111">
        <v>0.79166666666666663</v>
      </c>
      <c r="AN8" s="1111">
        <v>8.3333333333333329E-2</v>
      </c>
      <c r="AO8" s="1237">
        <v>0.6875</v>
      </c>
      <c r="AP8" s="1237">
        <v>0</v>
      </c>
      <c r="AQ8" s="1111">
        <v>0.79166666666666663</v>
      </c>
      <c r="AR8" s="1111">
        <v>8.3333333333333329E-2</v>
      </c>
      <c r="AS8" s="1193">
        <v>0.54166666666666663</v>
      </c>
      <c r="AT8" s="1193">
        <v>0.875</v>
      </c>
      <c r="AU8" s="1234">
        <v>0.47916666666666669</v>
      </c>
      <c r="AV8" s="1234">
        <v>0.8125</v>
      </c>
      <c r="AW8" s="1180" t="s">
        <v>137</v>
      </c>
      <c r="AX8" s="1120" t="s">
        <v>19</v>
      </c>
      <c r="AY8" s="1310" t="s">
        <v>90</v>
      </c>
      <c r="AZ8" s="1310" t="s">
        <v>90</v>
      </c>
      <c r="BA8" s="1192" t="s">
        <v>91</v>
      </c>
      <c r="BB8" s="1192" t="s">
        <v>91</v>
      </c>
      <c r="BC8" s="1111">
        <v>0.79166666666666663</v>
      </c>
      <c r="BD8" s="1111">
        <v>8.3333333333333329E-2</v>
      </c>
      <c r="BE8" s="1237">
        <v>0.6875</v>
      </c>
      <c r="BF8" s="1237">
        <v>0</v>
      </c>
      <c r="BG8" s="1111">
        <v>0.79166666666666663</v>
      </c>
      <c r="BH8" s="1111">
        <v>8.3333333333333329E-2</v>
      </c>
      <c r="BI8" s="1193">
        <v>0.54166666666666663</v>
      </c>
      <c r="BJ8" s="1193">
        <v>0.875</v>
      </c>
      <c r="BK8" s="1234">
        <v>0.47916666666666669</v>
      </c>
      <c r="BL8" s="1234">
        <v>0.8125</v>
      </c>
      <c r="BM8" s="951" t="s">
        <v>137</v>
      </c>
      <c r="BN8" s="1637" t="s">
        <v>19</v>
      </c>
      <c r="BO8" s="1633">
        <v>0.39583333333333331</v>
      </c>
      <c r="BP8" s="1029">
        <v>0.72916666666666663</v>
      </c>
      <c r="BQ8" s="1033">
        <v>0.45833333333333331</v>
      </c>
      <c r="BR8" s="1033">
        <v>0.79166666666666663</v>
      </c>
      <c r="BS8" s="1038" t="s">
        <v>92</v>
      </c>
      <c r="BT8" s="1038" t="s">
        <v>92</v>
      </c>
      <c r="BU8" s="1129">
        <v>0.45833333333333331</v>
      </c>
      <c r="BV8" s="1129">
        <v>0.79166666666666663</v>
      </c>
      <c r="BW8" s="1033">
        <v>0.64583333333333337</v>
      </c>
      <c r="BX8" s="1033">
        <v>0.96527777777777779</v>
      </c>
      <c r="BY8" s="1011">
        <v>0.54166666666666663</v>
      </c>
      <c r="BZ8" s="1011">
        <v>0.875</v>
      </c>
      <c r="CA8" s="1038" t="s">
        <v>93</v>
      </c>
      <c r="CB8" s="1623" t="s">
        <v>93</v>
      </c>
      <c r="CC8" s="951" t="s">
        <v>137</v>
      </c>
      <c r="CD8" s="1784" t="s">
        <v>19</v>
      </c>
      <c r="CE8" s="1028">
        <v>0.64583333333333337</v>
      </c>
      <c r="CF8" s="1037">
        <v>0.96527777777777779</v>
      </c>
      <c r="CG8" s="1699" t="s">
        <v>135</v>
      </c>
      <c r="CH8" s="1699" t="s">
        <v>138</v>
      </c>
      <c r="CI8" s="1699" t="s">
        <v>135</v>
      </c>
      <c r="CJ8" s="1699" t="s">
        <v>138</v>
      </c>
      <c r="CK8" s="1038" t="s">
        <v>94</v>
      </c>
      <c r="CL8" s="1038" t="s">
        <v>94</v>
      </c>
      <c r="CM8" s="1367">
        <v>0.54166666666666663</v>
      </c>
      <c r="CN8" s="1233">
        <v>0.875</v>
      </c>
      <c r="CO8" s="1111">
        <v>0.79166666666666663</v>
      </c>
      <c r="CP8" s="1111">
        <v>8.3333333333333329E-2</v>
      </c>
      <c r="CQ8" s="1011">
        <v>0.58333333333333337</v>
      </c>
      <c r="CR8" s="1622">
        <v>0.90972222222222221</v>
      </c>
      <c r="CS8" s="1180" t="s">
        <v>137</v>
      </c>
      <c r="CT8" s="948" t="s">
        <v>19</v>
      </c>
      <c r="CU8" s="1365"/>
      <c r="CV8" s="1232"/>
      <c r="CW8" s="1233"/>
      <c r="CX8" s="1233"/>
      <c r="CY8" s="1033"/>
      <c r="CZ8" s="1390"/>
      <c r="DA8" s="1449"/>
      <c r="DB8" s="1356"/>
      <c r="DC8" s="1453"/>
      <c r="DD8" s="1232"/>
      <c r="DE8" s="1033"/>
      <c r="DF8" s="1033"/>
      <c r="DG8" s="1033"/>
      <c r="DH8" s="1390"/>
    </row>
    <row r="9" spans="1:112" ht="15.75" x14ac:dyDescent="0.25">
      <c r="A9" s="954" t="s">
        <v>139</v>
      </c>
      <c r="B9" s="955" t="s">
        <v>19</v>
      </c>
      <c r="C9" s="949" t="s">
        <v>94</v>
      </c>
      <c r="D9" s="946" t="s">
        <v>94</v>
      </c>
      <c r="E9" s="1029">
        <v>0.47916666666666669</v>
      </c>
      <c r="F9" s="1029">
        <v>0.8125</v>
      </c>
      <c r="G9" s="1038" t="s">
        <v>140</v>
      </c>
      <c r="H9" s="1038" t="s">
        <v>141</v>
      </c>
      <c r="I9" s="946" t="s">
        <v>95</v>
      </c>
      <c r="J9" s="946" t="s">
        <v>95</v>
      </c>
      <c r="K9" s="1029">
        <v>0.47916666666666669</v>
      </c>
      <c r="L9" s="1029">
        <v>0.8125</v>
      </c>
      <c r="M9" s="1039"/>
      <c r="N9" s="1039"/>
      <c r="O9" s="946" t="s">
        <v>90</v>
      </c>
      <c r="P9" s="1032" t="s">
        <v>90</v>
      </c>
      <c r="Q9" s="1303" t="s">
        <v>139</v>
      </c>
      <c r="R9" s="1400" t="s">
        <v>19</v>
      </c>
      <c r="S9" s="1399">
        <v>0.6875</v>
      </c>
      <c r="T9" s="1333">
        <v>0</v>
      </c>
      <c r="U9" s="1304">
        <v>0.58333333333333337</v>
      </c>
      <c r="V9" s="1304">
        <v>0.90972222222222221</v>
      </c>
      <c r="W9" s="1311" t="s">
        <v>95</v>
      </c>
      <c r="X9" s="1311" t="s">
        <v>95</v>
      </c>
      <c r="Y9" s="1305">
        <v>0.6875</v>
      </c>
      <c r="Z9" s="1359">
        <v>0</v>
      </c>
      <c r="AA9" s="1360">
        <v>0.79166666666666663</v>
      </c>
      <c r="AB9" s="1395">
        <v>8.3333333333333329E-2</v>
      </c>
      <c r="AC9" s="1396">
        <v>0.66666666666666663</v>
      </c>
      <c r="AD9" s="1236">
        <v>0.97916666666666663</v>
      </c>
      <c r="AE9" s="1248">
        <v>0.64583333333333337</v>
      </c>
      <c r="AF9" s="1249">
        <v>0.96527777777777779</v>
      </c>
      <c r="AG9" s="1303" t="s">
        <v>139</v>
      </c>
      <c r="AH9" s="1220" t="s">
        <v>19</v>
      </c>
      <c r="AI9" s="1512" t="s">
        <v>135</v>
      </c>
      <c r="AJ9" s="1512" t="s">
        <v>138</v>
      </c>
      <c r="AK9" s="1310" t="s">
        <v>90</v>
      </c>
      <c r="AL9" s="1310" t="s">
        <v>90</v>
      </c>
      <c r="AM9" s="1310" t="s">
        <v>91</v>
      </c>
      <c r="AN9" s="1310" t="s">
        <v>91</v>
      </c>
      <c r="AO9" s="1234">
        <v>0.39583333333333331</v>
      </c>
      <c r="AP9" s="1234">
        <v>0.72916666666666663</v>
      </c>
      <c r="AQ9" s="1234">
        <v>0.47916666666666669</v>
      </c>
      <c r="AR9" s="1234">
        <v>0.8125</v>
      </c>
      <c r="AS9" s="1111">
        <v>0.79166666666666663</v>
      </c>
      <c r="AT9" s="1111">
        <v>8.3333333333333329E-2</v>
      </c>
      <c r="AU9" s="1193">
        <v>0.66666666666666663</v>
      </c>
      <c r="AV9" s="1193">
        <v>0.97916666666666663</v>
      </c>
      <c r="AW9" s="1303" t="s">
        <v>139</v>
      </c>
      <c r="AX9" s="1220" t="s">
        <v>19</v>
      </c>
      <c r="AY9" s="1512" t="s">
        <v>135</v>
      </c>
      <c r="AZ9" s="1512" t="s">
        <v>138</v>
      </c>
      <c r="BA9" s="1310" t="s">
        <v>90</v>
      </c>
      <c r="BB9" s="1310" t="s">
        <v>90</v>
      </c>
      <c r="BC9" s="1310" t="s">
        <v>91</v>
      </c>
      <c r="BD9" s="1310" t="s">
        <v>91</v>
      </c>
      <c r="BE9" s="1234">
        <v>0.39583333333333331</v>
      </c>
      <c r="BF9" s="1234">
        <v>0.72916666666666663</v>
      </c>
      <c r="BG9" s="1234">
        <v>0.47916666666666669</v>
      </c>
      <c r="BH9" s="1234">
        <v>0.8125</v>
      </c>
      <c r="BI9" s="1111">
        <v>0.79166666666666663</v>
      </c>
      <c r="BJ9" s="1111">
        <v>8.3333333333333329E-2</v>
      </c>
      <c r="BK9" s="1193">
        <v>0.66666666666666663</v>
      </c>
      <c r="BL9" s="1193">
        <v>0.97916666666666663</v>
      </c>
      <c r="BM9" s="1303" t="s">
        <v>139</v>
      </c>
      <c r="BN9" s="1637" t="s">
        <v>19</v>
      </c>
      <c r="BO9" s="1397">
        <v>0.79166666666666663</v>
      </c>
      <c r="BP9" s="1030">
        <v>8.3333333333333329E-2</v>
      </c>
      <c r="BQ9" s="1129">
        <v>0.64583333333333337</v>
      </c>
      <c r="BR9" s="1129">
        <v>0.96527777777777779</v>
      </c>
      <c r="BS9" s="1038" t="s">
        <v>92</v>
      </c>
      <c r="BT9" s="1038" t="s">
        <v>92</v>
      </c>
      <c r="BU9" s="1033">
        <v>0.54166666666666663</v>
      </c>
      <c r="BV9" s="1033">
        <v>0.875</v>
      </c>
      <c r="BW9" s="1029">
        <v>0.47916666666666669</v>
      </c>
      <c r="BX9" s="1029">
        <v>0.8125</v>
      </c>
      <c r="BY9" s="1030">
        <v>0.79166666666666663</v>
      </c>
      <c r="BZ9" s="1030">
        <v>8.3333333333333329E-2</v>
      </c>
      <c r="CA9" s="1033">
        <v>0.6875</v>
      </c>
      <c r="CB9" s="1624">
        <v>0</v>
      </c>
      <c r="CC9" s="1303" t="s">
        <v>139</v>
      </c>
      <c r="CD9" s="1784" t="s">
        <v>19</v>
      </c>
      <c r="CE9" s="1111">
        <v>0.79166666666666663</v>
      </c>
      <c r="CF9" s="1111">
        <v>8.3333333333333329E-2</v>
      </c>
      <c r="CG9" s="1698">
        <v>0.6875</v>
      </c>
      <c r="CH9" s="1698">
        <v>0</v>
      </c>
      <c r="CI9" s="1703">
        <v>0.6875</v>
      </c>
      <c r="CJ9" s="1703">
        <v>0</v>
      </c>
      <c r="CK9" s="1700" t="s">
        <v>93</v>
      </c>
      <c r="CL9" s="1701" t="s">
        <v>93</v>
      </c>
      <c r="CM9" s="1012">
        <v>0.6875</v>
      </c>
      <c r="CN9" s="1011">
        <v>0</v>
      </c>
      <c r="CO9" s="1011">
        <v>0.54166666666666663</v>
      </c>
      <c r="CP9" s="1011">
        <v>0.875</v>
      </c>
      <c r="CQ9" s="1113">
        <v>0.39583333333333331</v>
      </c>
      <c r="CR9" s="1113">
        <v>0.72916666666666663</v>
      </c>
      <c r="CS9" s="1303" t="s">
        <v>139</v>
      </c>
      <c r="CT9" s="1400" t="s">
        <v>19</v>
      </c>
      <c r="CU9" s="1399"/>
      <c r="CV9" s="1333"/>
      <c r="CW9" s="1333"/>
      <c r="CX9" s="1333"/>
      <c r="CY9" s="1439"/>
      <c r="CZ9" s="1439"/>
      <c r="DA9" s="1439"/>
      <c r="DB9" s="1454"/>
      <c r="DC9" s="1455"/>
      <c r="DD9" s="1456"/>
      <c r="DE9" s="1396"/>
      <c r="DF9" s="1236"/>
      <c r="DG9" s="1439"/>
      <c r="DH9" s="1439"/>
    </row>
    <row r="10" spans="1:112" ht="16.5" thickBot="1" x14ac:dyDescent="0.3">
      <c r="A10" s="957"/>
      <c r="B10" s="1007"/>
      <c r="C10" s="1566"/>
      <c r="D10" s="1567"/>
      <c r="E10" s="1568"/>
      <c r="F10" s="1568"/>
      <c r="G10" s="1038"/>
      <c r="H10" s="1038"/>
      <c r="I10" s="1051"/>
      <c r="J10" s="1052"/>
      <c r="K10" s="1568"/>
      <c r="L10" s="1568"/>
      <c r="M10" s="1054"/>
      <c r="N10" s="1054"/>
      <c r="O10" s="1567"/>
      <c r="P10" s="1569"/>
      <c r="Q10" s="957"/>
      <c r="R10" s="1570"/>
      <c r="S10" s="1571"/>
      <c r="T10" s="1572"/>
      <c r="U10" s="1573"/>
      <c r="V10" s="1573"/>
      <c r="W10" s="1574"/>
      <c r="X10" s="1574"/>
      <c r="Y10" s="1575"/>
      <c r="Z10" s="1576"/>
      <c r="AA10" s="1577"/>
      <c r="AB10" s="1577"/>
      <c r="AC10" s="1578"/>
      <c r="AD10" s="1579"/>
      <c r="AE10" s="1580"/>
      <c r="AF10" s="1581"/>
      <c r="AG10" s="957"/>
      <c r="AH10" s="1570"/>
      <c r="AI10" s="1512"/>
      <c r="AJ10" s="1512"/>
      <c r="AK10" s="1310"/>
      <c r="AL10" s="1310"/>
      <c r="AM10" s="1310"/>
      <c r="AN10" s="1310"/>
      <c r="AO10" s="1234"/>
      <c r="AP10" s="1234"/>
      <c r="AQ10" s="1234"/>
      <c r="AR10" s="1234"/>
      <c r="AS10" s="1111"/>
      <c r="AT10" s="1111"/>
      <c r="AU10" s="1193"/>
      <c r="AV10" s="1193"/>
      <c r="AW10" s="1510" t="s">
        <v>142</v>
      </c>
      <c r="AX10" s="1511" t="s">
        <v>19</v>
      </c>
      <c r="AY10" s="1192" t="s">
        <v>90</v>
      </c>
      <c r="AZ10" s="1192" t="s">
        <v>90</v>
      </c>
      <c r="BA10" s="1310" t="s">
        <v>91</v>
      </c>
      <c r="BB10" s="1310" t="s">
        <v>91</v>
      </c>
      <c r="BC10" s="1234">
        <v>0.39583333333333331</v>
      </c>
      <c r="BD10" s="1234">
        <v>0.72916666666666663</v>
      </c>
      <c r="BE10" s="1111">
        <v>0.79166666666666663</v>
      </c>
      <c r="BF10" s="1111">
        <v>8.3333333333333329E-2</v>
      </c>
      <c r="BG10" s="1193">
        <v>0.6875</v>
      </c>
      <c r="BH10" s="1193">
        <v>0</v>
      </c>
      <c r="BI10" s="1234">
        <v>0.47916666666666669</v>
      </c>
      <c r="BJ10" s="1234">
        <v>0.8125</v>
      </c>
      <c r="BK10" s="1111">
        <v>0.79166666666666663</v>
      </c>
      <c r="BL10" s="1111">
        <v>8.3333333333333329E-2</v>
      </c>
      <c r="BM10" s="957" t="s">
        <v>142</v>
      </c>
      <c r="BN10" s="1638" t="s">
        <v>19</v>
      </c>
      <c r="BO10" s="1634">
        <v>0.54166666666666663</v>
      </c>
      <c r="BP10" s="1625">
        <v>0.875</v>
      </c>
      <c r="BQ10" s="1626">
        <v>0.39583333333333331</v>
      </c>
      <c r="BR10" s="1626">
        <v>0.72916666666666663</v>
      </c>
      <c r="BS10" s="1627" t="s">
        <v>92</v>
      </c>
      <c r="BT10" s="1627" t="s">
        <v>92</v>
      </c>
      <c r="BU10" s="1628">
        <v>0.64583333333333337</v>
      </c>
      <c r="BV10" s="1628">
        <v>0.96527777777777779</v>
      </c>
      <c r="BW10" s="1629">
        <v>0.54166666666666663</v>
      </c>
      <c r="BX10" s="1629">
        <v>0.875</v>
      </c>
      <c r="BY10" s="1630" t="s">
        <v>135</v>
      </c>
      <c r="BZ10" s="1630" t="s">
        <v>138</v>
      </c>
      <c r="CA10" s="1046">
        <v>0.79166666666666663</v>
      </c>
      <c r="CB10" s="1631">
        <v>8.3333333333333329E-2</v>
      </c>
      <c r="CC10" s="1510" t="s">
        <v>142</v>
      </c>
      <c r="CD10" s="1785" t="s">
        <v>19</v>
      </c>
      <c r="CE10" s="1717">
        <v>0.6875</v>
      </c>
      <c r="CF10" s="1641">
        <v>0</v>
      </c>
      <c r="CG10" s="1718" t="s">
        <v>93</v>
      </c>
      <c r="CH10" s="1718" t="s">
        <v>93</v>
      </c>
      <c r="CI10" s="1645">
        <v>0.79166666666666663</v>
      </c>
      <c r="CJ10" s="1645">
        <v>8.3333333333333329E-2</v>
      </c>
      <c r="CK10" s="1719" t="s">
        <v>94</v>
      </c>
      <c r="CL10" s="1720" t="s">
        <v>94</v>
      </c>
      <c r="CM10" s="1686">
        <v>0.66666666666666663</v>
      </c>
      <c r="CN10" s="1629">
        <v>0.97916666666666663</v>
      </c>
      <c r="CO10" s="1629">
        <v>0.64583333333333337</v>
      </c>
      <c r="CP10" s="1629">
        <v>0.96527777777777779</v>
      </c>
      <c r="CQ10" s="1629">
        <v>0.66666666666666663</v>
      </c>
      <c r="CR10" s="1640">
        <v>0.97916666666666663</v>
      </c>
      <c r="CS10" s="957"/>
      <c r="CT10" s="1570"/>
      <c r="CU10" s="1571"/>
      <c r="CV10" s="1572"/>
      <c r="CW10" s="1572"/>
      <c r="CX10" s="1572"/>
      <c r="CY10" s="1582"/>
      <c r="CZ10" s="1582"/>
      <c r="DA10" s="1582"/>
      <c r="DB10" s="1583"/>
      <c r="DC10" s="1584"/>
      <c r="DD10" s="1584"/>
      <c r="DE10" s="1578"/>
      <c r="DF10" s="1579"/>
      <c r="DG10" s="1582"/>
      <c r="DH10" s="1582"/>
    </row>
    <row r="11" spans="1:112" ht="16.5" thickBot="1" x14ac:dyDescent="0.3">
      <c r="A11" s="957" t="s">
        <v>143</v>
      </c>
      <c r="B11" s="958" t="s">
        <v>19</v>
      </c>
      <c r="C11" s="1040">
        <v>0.66666666666666663</v>
      </c>
      <c r="D11" s="1041">
        <v>0.97916666666666663</v>
      </c>
      <c r="E11" s="1042">
        <v>0.64583333333333337</v>
      </c>
      <c r="F11" s="1042">
        <v>0.96527777777777779</v>
      </c>
      <c r="G11" s="1011">
        <v>0.54166666666666663</v>
      </c>
      <c r="H11" s="1011">
        <v>0.875</v>
      </c>
      <c r="I11" s="1043"/>
      <c r="J11" s="1044"/>
      <c r="K11" s="1042">
        <v>0.66666666666666663</v>
      </c>
      <c r="L11" s="1042">
        <v>0.97916666666666663</v>
      </c>
      <c r="M11" s="1045"/>
      <c r="N11" s="1045"/>
      <c r="O11" s="1046">
        <v>0.79166666666666663</v>
      </c>
      <c r="P11" s="1047">
        <v>8.3333333333333329E-2</v>
      </c>
      <c r="Q11" s="1181" t="s">
        <v>144</v>
      </c>
      <c r="R11" s="1116" t="s">
        <v>145</v>
      </c>
      <c r="S11" s="1368">
        <v>0.41666666666666669</v>
      </c>
      <c r="T11" s="1369">
        <v>0.75</v>
      </c>
      <c r="U11" s="1207">
        <v>0.79166666666666663</v>
      </c>
      <c r="V11" s="1207">
        <v>8.3333333333333329E-2</v>
      </c>
      <c r="W11" s="1370"/>
      <c r="X11" s="1370"/>
      <c r="Y11" s="1371">
        <v>0.6875</v>
      </c>
      <c r="Z11" s="1372">
        <v>0.96527777777777779</v>
      </c>
      <c r="AA11" s="1363"/>
      <c r="AB11" s="1245"/>
      <c r="AC11" s="1245"/>
      <c r="AD11" s="1245"/>
      <c r="AE11" s="1245"/>
      <c r="AF11" s="1353"/>
      <c r="AG11" s="1510" t="s">
        <v>142</v>
      </c>
      <c r="AH11" s="1511" t="s">
        <v>19</v>
      </c>
      <c r="AI11" s="1192" t="s">
        <v>90</v>
      </c>
      <c r="AJ11" s="1192" t="s">
        <v>90</v>
      </c>
      <c r="AK11" s="1310" t="s">
        <v>91</v>
      </c>
      <c r="AL11" s="1310" t="s">
        <v>91</v>
      </c>
      <c r="AM11" s="1234">
        <v>0.39583333333333331</v>
      </c>
      <c r="AN11" s="1234">
        <v>0.72916666666666663</v>
      </c>
      <c r="AO11" s="1111">
        <v>0.79166666666666663</v>
      </c>
      <c r="AP11" s="1111">
        <v>8.3333333333333329E-2</v>
      </c>
      <c r="AQ11" s="1193">
        <v>0.64583333333333337</v>
      </c>
      <c r="AR11" s="1193">
        <v>0.96527777777777779</v>
      </c>
      <c r="AS11" s="1234">
        <v>0.47916666666666669</v>
      </c>
      <c r="AT11" s="1234">
        <v>0.8125</v>
      </c>
      <c r="AU11" s="1111">
        <v>0.79166666666666663</v>
      </c>
      <c r="AV11" s="1111">
        <v>8.3333333333333329E-2</v>
      </c>
      <c r="AW11" s="1181" t="s">
        <v>144</v>
      </c>
      <c r="AX11" s="1116" t="s">
        <v>145</v>
      </c>
      <c r="AY11" s="1260">
        <v>0.41666666666666669</v>
      </c>
      <c r="AZ11" s="1260">
        <v>0.70833333333333337</v>
      </c>
      <c r="BA11" s="1237">
        <v>0.64583333333333337</v>
      </c>
      <c r="BB11" s="1237">
        <v>0.96527777777777779</v>
      </c>
      <c r="BC11" s="1193">
        <v>0.625</v>
      </c>
      <c r="BD11" s="1193">
        <v>0.94444444444444442</v>
      </c>
      <c r="BE11" s="1193">
        <v>0.45833333333333331</v>
      </c>
      <c r="BF11" s="1193">
        <v>0.79166666666666663</v>
      </c>
      <c r="BG11" s="1509"/>
      <c r="BH11" s="1509"/>
      <c r="BI11" s="1442"/>
      <c r="BJ11" s="1442"/>
      <c r="BK11" s="1442"/>
      <c r="BL11" s="1442"/>
      <c r="BM11" s="1181" t="s">
        <v>144</v>
      </c>
      <c r="BN11" s="1116" t="s">
        <v>145</v>
      </c>
      <c r="BO11" s="1612">
        <v>0.41666666666666669</v>
      </c>
      <c r="BP11" s="1612">
        <v>0.70833333333333337</v>
      </c>
      <c r="BQ11" s="1520">
        <v>0.64583333333333337</v>
      </c>
      <c r="BR11" s="1520">
        <v>0.96527777777777779</v>
      </c>
      <c r="BS11" s="1613">
        <v>0.46527777777777779</v>
      </c>
      <c r="BT11" s="1613">
        <v>0.79861111111111116</v>
      </c>
      <c r="BU11" s="1113">
        <v>0.39583333333333331</v>
      </c>
      <c r="BV11" s="1113">
        <v>0.72916666666666663</v>
      </c>
      <c r="BW11" s="1614"/>
      <c r="BX11" s="1615"/>
      <c r="BY11" s="1615"/>
      <c r="BZ11" s="1615"/>
      <c r="CA11" s="1616"/>
      <c r="CB11" s="1616"/>
      <c r="CC11" s="1181" t="s">
        <v>144</v>
      </c>
      <c r="CD11" s="1116" t="s">
        <v>145</v>
      </c>
      <c r="CE11" s="1721">
        <v>0.41666666666666669</v>
      </c>
      <c r="CF11" s="1722">
        <v>0.70833333333333337</v>
      </c>
      <c r="CG11" s="1732"/>
      <c r="CH11" s="1732"/>
      <c r="CI11" s="1642">
        <v>0.54166666666666663</v>
      </c>
      <c r="CJ11" s="1642">
        <v>0.875</v>
      </c>
      <c r="CK11" s="1724">
        <v>0.39583333333333331</v>
      </c>
      <c r="CL11" s="1725">
        <v>0.72916666666666663</v>
      </c>
      <c r="CM11" s="1707"/>
      <c r="CN11" s="1708"/>
      <c r="CO11" s="1564">
        <v>0.6875</v>
      </c>
      <c r="CP11" s="1564">
        <v>0</v>
      </c>
      <c r="CQ11" s="1709"/>
      <c r="CR11" s="1710"/>
      <c r="CS11" s="1181" t="s">
        <v>144</v>
      </c>
      <c r="CT11" s="1116" t="s">
        <v>145</v>
      </c>
      <c r="CU11" s="1443"/>
      <c r="CV11" s="1444"/>
      <c r="CW11" s="1444"/>
      <c r="CX11" s="1444"/>
      <c r="CY11" s="1444"/>
      <c r="CZ11" s="1444"/>
      <c r="DA11" s="1444"/>
      <c r="DB11" s="1445"/>
      <c r="DC11" s="1367"/>
      <c r="DD11" s="1233"/>
      <c r="DE11" s="1233"/>
      <c r="DF11" s="1233"/>
      <c r="DG11" s="1444"/>
      <c r="DH11" s="1444"/>
    </row>
    <row r="12" spans="1:112" ht="15.75" x14ac:dyDescent="0.25">
      <c r="A12" s="957"/>
      <c r="B12" s="1007"/>
      <c r="C12" s="1048"/>
      <c r="D12" s="1049"/>
      <c r="E12" s="1050"/>
      <c r="F12" s="1050"/>
      <c r="G12" s="956"/>
      <c r="H12" s="956"/>
      <c r="I12" s="1051"/>
      <c r="J12" s="1052"/>
      <c r="K12" s="1053"/>
      <c r="L12" s="1050"/>
      <c r="M12" s="1054"/>
      <c r="N12" s="1054"/>
      <c r="O12" s="1055"/>
      <c r="P12" s="1056"/>
      <c r="Q12" s="1182" t="s">
        <v>146</v>
      </c>
      <c r="R12" s="1116" t="s">
        <v>145</v>
      </c>
      <c r="S12" s="1373"/>
      <c r="T12" s="1231"/>
      <c r="U12" s="1193">
        <v>0.66666666666666663</v>
      </c>
      <c r="V12" s="1193">
        <v>0.97916666666666663</v>
      </c>
      <c r="W12" s="1193">
        <v>0.54166666666666663</v>
      </c>
      <c r="X12" s="1193">
        <v>0.875</v>
      </c>
      <c r="Y12" s="1341">
        <v>0.6875</v>
      </c>
      <c r="Z12" s="1374">
        <v>0.96527777777777779</v>
      </c>
      <c r="AA12" s="1364"/>
      <c r="AB12" s="1338"/>
      <c r="AC12" s="1233">
        <v>0.64583333333333337</v>
      </c>
      <c r="AD12" s="1233">
        <v>0.96527777777777779</v>
      </c>
      <c r="AE12" s="1245"/>
      <c r="AF12" s="1353"/>
      <c r="AG12" s="1181" t="s">
        <v>144</v>
      </c>
      <c r="AH12" s="1116" t="s">
        <v>145</v>
      </c>
      <c r="AI12" s="1260">
        <v>0.41666666666666669</v>
      </c>
      <c r="AJ12" s="1260">
        <v>0.70833333333333337</v>
      </c>
      <c r="AK12" s="1237">
        <v>0.64583333333333337</v>
      </c>
      <c r="AL12" s="1237">
        <v>0.96527777777777779</v>
      </c>
      <c r="AM12" s="1193">
        <v>0.625</v>
      </c>
      <c r="AN12" s="1193">
        <v>0.94444444444444442</v>
      </c>
      <c r="AO12" s="1193">
        <v>0.45833333333333331</v>
      </c>
      <c r="AP12" s="1193">
        <v>0.79166666666666663</v>
      </c>
      <c r="AQ12" s="1509"/>
      <c r="AR12" s="1509"/>
      <c r="AS12" s="1442"/>
      <c r="AT12" s="1442"/>
      <c r="AU12" s="1442"/>
      <c r="AV12" s="1442"/>
      <c r="AW12" s="1182" t="s">
        <v>146</v>
      </c>
      <c r="AX12" s="1116" t="s">
        <v>145</v>
      </c>
      <c r="AY12" s="1234">
        <v>0.47916666666666669</v>
      </c>
      <c r="AZ12" s="1234">
        <v>0.77083333333333337</v>
      </c>
      <c r="BA12" s="1283"/>
      <c r="BB12" s="1283"/>
      <c r="BC12" s="1111">
        <v>0.83333333333333337</v>
      </c>
      <c r="BD12" s="1111">
        <v>0.125</v>
      </c>
      <c r="BE12" s="1237">
        <v>0.64583333333333337</v>
      </c>
      <c r="BF12" s="1237">
        <v>0.96527777777777779</v>
      </c>
      <c r="BG12" s="1283"/>
      <c r="BH12" s="1283"/>
      <c r="BI12" s="1442"/>
      <c r="BJ12" s="1442"/>
      <c r="BK12" s="1600">
        <v>0.6875</v>
      </c>
      <c r="BL12" s="1600">
        <v>0.96527777777777779</v>
      </c>
      <c r="BM12" s="1182" t="s">
        <v>146</v>
      </c>
      <c r="BN12" s="1116" t="s">
        <v>145</v>
      </c>
      <c r="BO12" s="1446">
        <v>0.64583333333333337</v>
      </c>
      <c r="BP12" s="1233">
        <v>0.96527777777777779</v>
      </c>
      <c r="BQ12" s="1232">
        <v>0.6875</v>
      </c>
      <c r="BR12" s="1232">
        <v>0</v>
      </c>
      <c r="BS12" s="964"/>
      <c r="BT12" s="964"/>
      <c r="BU12" s="1111">
        <v>0.79166666666666663</v>
      </c>
      <c r="BV12" s="1111">
        <v>8.3333333333333329E-2</v>
      </c>
      <c r="BW12" s="1364"/>
      <c r="BX12" s="1338"/>
      <c r="BY12" s="1338"/>
      <c r="BZ12" s="1338"/>
      <c r="CA12" s="1338"/>
      <c r="CB12" s="1338"/>
      <c r="CC12" s="1182" t="s">
        <v>146</v>
      </c>
      <c r="CD12" s="1116" t="s">
        <v>145</v>
      </c>
      <c r="CE12" s="1521">
        <v>0.6875</v>
      </c>
      <c r="CF12" s="1233">
        <v>0.96527777777777779</v>
      </c>
      <c r="CG12" s="1733"/>
      <c r="CH12" s="1733"/>
      <c r="CI12" s="1113">
        <v>0.39583333333333331</v>
      </c>
      <c r="CJ12" s="1113">
        <v>0.72916666666666663</v>
      </c>
      <c r="CK12" s="1193">
        <v>0.45833333333333331</v>
      </c>
      <c r="CL12" s="1643">
        <v>0.79166666666666663</v>
      </c>
      <c r="CM12" s="1604">
        <v>0.79166666666666663</v>
      </c>
      <c r="CN12" s="1111">
        <v>8.3333333333333329E-2</v>
      </c>
      <c r="CO12" s="1706"/>
      <c r="CP12" s="1706"/>
      <c r="CQ12" s="1704"/>
      <c r="CR12" s="1711"/>
      <c r="CS12" s="1182" t="s">
        <v>146</v>
      </c>
      <c r="CT12" s="1116" t="s">
        <v>145</v>
      </c>
      <c r="CU12" s="1446"/>
      <c r="CV12" s="1233"/>
      <c r="CW12" s="1232"/>
      <c r="CX12" s="1232"/>
      <c r="CY12" s="1232"/>
      <c r="CZ12" s="1232"/>
      <c r="DA12" s="1233"/>
      <c r="DB12" s="1355"/>
      <c r="DC12" s="1365"/>
      <c r="DD12" s="1232"/>
      <c r="DE12" s="1233"/>
      <c r="DF12" s="1233"/>
      <c r="DG12" s="1232"/>
      <c r="DH12" s="1232"/>
    </row>
    <row r="13" spans="1:112" ht="15.75" x14ac:dyDescent="0.25">
      <c r="A13" s="957"/>
      <c r="B13" s="1007"/>
      <c r="C13" s="1048"/>
      <c r="D13" s="1049"/>
      <c r="E13" s="1050"/>
      <c r="F13" s="1050"/>
      <c r="G13" s="956"/>
      <c r="H13" s="956"/>
      <c r="I13" s="1051"/>
      <c r="J13" s="1052"/>
      <c r="K13" s="1053"/>
      <c r="L13" s="1050"/>
      <c r="M13" s="1054"/>
      <c r="N13" s="1054"/>
      <c r="O13" s="1055"/>
      <c r="P13" s="1056"/>
      <c r="Q13" s="1183" t="s">
        <v>147</v>
      </c>
      <c r="R13" s="1116" t="s">
        <v>145</v>
      </c>
      <c r="S13" s="1377">
        <v>0.72916666666666663</v>
      </c>
      <c r="T13" s="1341">
        <v>1</v>
      </c>
      <c r="U13" s="1232">
        <v>0.64583333333333337</v>
      </c>
      <c r="V13" s="1232">
        <v>0.96527777777777779</v>
      </c>
      <c r="W13" s="1193">
        <v>0.6875</v>
      </c>
      <c r="X13" s="1193">
        <v>0</v>
      </c>
      <c r="Y13" s="1338"/>
      <c r="Z13" s="1354"/>
      <c r="AA13" s="1365">
        <v>0.54166666666666663</v>
      </c>
      <c r="AB13" s="1232">
        <v>0.875</v>
      </c>
      <c r="AC13" s="1245"/>
      <c r="AD13" s="1245"/>
      <c r="AE13" s="1245"/>
      <c r="AF13" s="1353"/>
      <c r="AG13" s="1182" t="s">
        <v>146</v>
      </c>
      <c r="AH13" s="1116" t="s">
        <v>145</v>
      </c>
      <c r="AI13" s="1234">
        <v>0.47916666666666669</v>
      </c>
      <c r="AJ13" s="1234">
        <v>0.77083333333333337</v>
      </c>
      <c r="AK13" s="1283"/>
      <c r="AL13" s="1283"/>
      <c r="AM13" s="1111">
        <v>0.83333333333333337</v>
      </c>
      <c r="AN13" s="1111">
        <v>0.125</v>
      </c>
      <c r="AO13" s="1237">
        <v>0.64583333333333337</v>
      </c>
      <c r="AP13" s="1237">
        <v>0.96527777777777779</v>
      </c>
      <c r="AQ13" s="1283"/>
      <c r="AR13" s="1283"/>
      <c r="AS13" s="1442"/>
      <c r="AT13" s="1442"/>
      <c r="AU13" s="1237">
        <v>0.6875</v>
      </c>
      <c r="AV13" s="1237">
        <v>0.96527777777777779</v>
      </c>
      <c r="AW13" s="1183" t="s">
        <v>147</v>
      </c>
      <c r="AX13" s="1116" t="s">
        <v>145</v>
      </c>
      <c r="AY13" s="1237">
        <v>0.70833333333333337</v>
      </c>
      <c r="AZ13" s="1237">
        <v>0.97916666666666663</v>
      </c>
      <c r="BA13" s="1283"/>
      <c r="BB13" s="1283"/>
      <c r="BC13" s="1111">
        <v>0.75</v>
      </c>
      <c r="BD13" s="1111">
        <v>4.1666666666666664E-2</v>
      </c>
      <c r="BE13" s="1193">
        <v>0.6875</v>
      </c>
      <c r="BF13" s="1193">
        <v>0</v>
      </c>
      <c r="BG13" s="1193">
        <v>0.6875</v>
      </c>
      <c r="BH13" s="1193">
        <v>0</v>
      </c>
      <c r="BI13" s="1442"/>
      <c r="BJ13" s="1442"/>
      <c r="BK13" s="1442"/>
      <c r="BL13" s="1442"/>
      <c r="BM13" s="1183" t="s">
        <v>147</v>
      </c>
      <c r="BN13" s="1116" t="s">
        <v>145</v>
      </c>
      <c r="BO13" s="1446">
        <v>0.6875</v>
      </c>
      <c r="BP13" s="1233">
        <v>0</v>
      </c>
      <c r="BQ13" s="1453">
        <v>0.54166666666666663</v>
      </c>
      <c r="BR13" s="1232">
        <v>0.875</v>
      </c>
      <c r="BS13" s="964"/>
      <c r="BT13" s="964"/>
      <c r="BU13" s="1601">
        <v>0.6875</v>
      </c>
      <c r="BV13" s="1601">
        <v>0.96527777777777779</v>
      </c>
      <c r="BW13" s="1365">
        <v>0.6875</v>
      </c>
      <c r="BX13" s="1232">
        <v>0</v>
      </c>
      <c r="BY13" s="1245"/>
      <c r="BZ13" s="1245"/>
      <c r="CA13" s="1338"/>
      <c r="CB13" s="1338"/>
      <c r="CC13" s="1183" t="s">
        <v>147</v>
      </c>
      <c r="CD13" s="1116" t="s">
        <v>145</v>
      </c>
      <c r="CE13" s="1734"/>
      <c r="CF13" s="1231"/>
      <c r="CG13" s="1733"/>
      <c r="CH13" s="1733"/>
      <c r="CI13" s="1639">
        <v>0.54166666666666663</v>
      </c>
      <c r="CJ13" s="1639">
        <v>0.875</v>
      </c>
      <c r="CK13" s="1111">
        <v>0.79166666666666663</v>
      </c>
      <c r="CL13" s="1726">
        <v>8.3333333333333329E-2</v>
      </c>
      <c r="CM13" s="1705"/>
      <c r="CN13" s="1704"/>
      <c r="CO13" s="1706"/>
      <c r="CP13" s="1706"/>
      <c r="CQ13" s="1232">
        <v>0.54166666666666663</v>
      </c>
      <c r="CR13" s="1523">
        <v>0.875</v>
      </c>
      <c r="CS13" s="1183" t="s">
        <v>147</v>
      </c>
      <c r="CT13" s="1116" t="s">
        <v>145</v>
      </c>
      <c r="CU13" s="1446"/>
      <c r="CV13" s="1233"/>
      <c r="CW13" s="1232"/>
      <c r="CX13" s="1232"/>
      <c r="CY13" s="1232"/>
      <c r="CZ13" s="1232"/>
      <c r="DA13" s="1232"/>
      <c r="DB13" s="1247"/>
      <c r="DC13" s="1365"/>
      <c r="DD13" s="1232"/>
      <c r="DE13" s="1233"/>
      <c r="DF13" s="1233"/>
      <c r="DG13" s="1232"/>
      <c r="DH13" s="1232"/>
    </row>
    <row r="14" spans="1:112" ht="15.75" hidden="1" x14ac:dyDescent="0.25">
      <c r="A14" s="959" t="s">
        <v>142</v>
      </c>
      <c r="B14" s="960" t="s">
        <v>145</v>
      </c>
      <c r="C14" s="1057">
        <v>0.72916666666666663</v>
      </c>
      <c r="D14" s="1058">
        <v>0</v>
      </c>
      <c r="E14" s="1059"/>
      <c r="F14" s="1059"/>
      <c r="G14" s="1025">
        <v>0.6875</v>
      </c>
      <c r="H14" s="1025">
        <v>0</v>
      </c>
      <c r="I14" s="1060">
        <v>0.79166666666666663</v>
      </c>
      <c r="J14" s="1060">
        <v>8.3333333333333329E-2</v>
      </c>
      <c r="K14" s="1061">
        <v>0.64583333333333337</v>
      </c>
      <c r="L14" s="1027">
        <v>0.96527777777777779</v>
      </c>
      <c r="M14" s="1062"/>
      <c r="N14" s="1062"/>
      <c r="O14" s="1059"/>
      <c r="P14" s="1063"/>
      <c r="Q14" s="1182" t="s">
        <v>142</v>
      </c>
      <c r="R14" s="1116" t="s">
        <v>145</v>
      </c>
      <c r="S14" s="1375">
        <v>0.45833333333333331</v>
      </c>
      <c r="T14" s="1342">
        <v>0.75</v>
      </c>
      <c r="U14" s="1283"/>
      <c r="V14" s="1283"/>
      <c r="W14" s="1234">
        <v>0.41666666666666669</v>
      </c>
      <c r="X14" s="1234">
        <v>0.75</v>
      </c>
      <c r="Y14" s="1193">
        <v>0.64583333333333337</v>
      </c>
      <c r="Z14" s="1352">
        <v>0.96527777777777779</v>
      </c>
      <c r="AA14" s="1364"/>
      <c r="AB14" s="1338"/>
      <c r="AC14" s="1030">
        <v>0.79166666666666663</v>
      </c>
      <c r="AD14" s="1391">
        <v>8.3333333333333329E-2</v>
      </c>
      <c r="AE14" s="1394"/>
      <c r="AF14" s="1354"/>
      <c r="AG14" s="1183" t="s">
        <v>147</v>
      </c>
      <c r="AH14" s="1116" t="s">
        <v>145</v>
      </c>
      <c r="AI14" s="1237">
        <v>0.70833333333333337</v>
      </c>
      <c r="AJ14" s="1237">
        <v>0.97916666666666663</v>
      </c>
      <c r="AK14" s="1283"/>
      <c r="AL14" s="1283"/>
      <c r="AM14" s="1111">
        <v>0.75</v>
      </c>
      <c r="AN14" s="1111">
        <v>4.1666666666666664E-2</v>
      </c>
      <c r="AO14" s="1193">
        <v>0.6875</v>
      </c>
      <c r="AP14" s="1193">
        <v>0</v>
      </c>
      <c r="AQ14" s="1193">
        <v>0.6875</v>
      </c>
      <c r="AR14" s="1193">
        <v>0</v>
      </c>
      <c r="AS14" s="1442"/>
      <c r="AT14" s="1442"/>
      <c r="AU14" s="1442"/>
      <c r="AV14" s="1442"/>
      <c r="AW14" s="1184" t="s">
        <v>148</v>
      </c>
      <c r="AX14" s="1117" t="s">
        <v>145</v>
      </c>
      <c r="AY14" s="1111">
        <v>0.83333333333333337</v>
      </c>
      <c r="AZ14" s="1111">
        <v>8.3333333333333329E-2</v>
      </c>
      <c r="BA14" s="1283"/>
      <c r="BB14" s="1283"/>
      <c r="BC14" s="1193">
        <v>0.58333333333333337</v>
      </c>
      <c r="BD14" s="1193">
        <v>0.90972222222222221</v>
      </c>
      <c r="BE14" s="1193">
        <v>0.64583333333333337</v>
      </c>
      <c r="BF14" s="1193">
        <v>0.96527777777777779</v>
      </c>
      <c r="BG14" s="1283"/>
      <c r="BH14" s="1283"/>
      <c r="BI14" s="1508"/>
      <c r="BJ14" s="1508"/>
      <c r="BK14" s="1283"/>
      <c r="BL14" s="1283"/>
      <c r="BM14" s="1182" t="s">
        <v>142</v>
      </c>
      <c r="BN14" s="1116" t="s">
        <v>145</v>
      </c>
      <c r="BO14" s="1453"/>
      <c r="BP14" s="1232"/>
      <c r="BQ14" s="1193"/>
      <c r="BR14" s="1193"/>
      <c r="BS14" s="1232"/>
      <c r="BT14" s="1232"/>
      <c r="BU14" s="1232"/>
      <c r="BV14" s="1247"/>
      <c r="BW14" s="1364"/>
      <c r="BX14" s="1338"/>
      <c r="BY14" s="1585"/>
      <c r="BZ14" s="1586"/>
      <c r="CA14" s="1338"/>
      <c r="CB14" s="1338"/>
      <c r="CC14" s="1182" t="s">
        <v>142</v>
      </c>
      <c r="CD14" s="1116" t="s">
        <v>145</v>
      </c>
      <c r="CE14" s="1521"/>
      <c r="CF14" s="1233"/>
      <c r="CG14" s="1232"/>
      <c r="CH14" s="1232"/>
      <c r="CI14" s="1232"/>
      <c r="CJ14" s="1232"/>
      <c r="CK14" s="1232"/>
      <c r="CL14" s="1523"/>
      <c r="CM14" s="1365"/>
      <c r="CN14" s="1232"/>
      <c r="CO14" s="1033"/>
      <c r="CP14" s="1390"/>
      <c r="CQ14" s="1232"/>
      <c r="CR14" s="1523"/>
      <c r="CS14" s="1182" t="s">
        <v>142</v>
      </c>
      <c r="CT14" s="1116" t="s">
        <v>145</v>
      </c>
      <c r="CU14" s="1453"/>
      <c r="CV14" s="1232"/>
      <c r="CW14" s="1232"/>
      <c r="CX14" s="1232"/>
      <c r="CY14" s="1232"/>
      <c r="CZ14" s="1232"/>
      <c r="DA14" s="1232"/>
      <c r="DB14" s="1247"/>
      <c r="DC14" s="1365"/>
      <c r="DD14" s="1232"/>
      <c r="DE14" s="1033"/>
      <c r="DF14" s="1390"/>
      <c r="DG14" s="1232"/>
      <c r="DH14" s="1232"/>
    </row>
    <row r="15" spans="1:112" ht="15.75" x14ac:dyDescent="0.25">
      <c r="A15" s="962" t="s">
        <v>148</v>
      </c>
      <c r="B15" s="963" t="s">
        <v>145</v>
      </c>
      <c r="C15" s="1064"/>
      <c r="D15" s="961"/>
      <c r="E15" s="1013">
        <v>0.54166666666666663</v>
      </c>
      <c r="F15" s="1013">
        <v>0.83333333333333337</v>
      </c>
      <c r="G15" s="1012">
        <v>0.64583333333333337</v>
      </c>
      <c r="H15" s="1011">
        <v>0.96527777777777779</v>
      </c>
      <c r="I15" s="953">
        <v>0.66666666666666663</v>
      </c>
      <c r="J15" s="953">
        <v>0.97916666666666663</v>
      </c>
      <c r="K15" s="1065"/>
      <c r="L15" s="1065"/>
      <c r="M15" s="1066"/>
      <c r="N15" s="1066"/>
      <c r="O15" s="964"/>
      <c r="P15" s="965"/>
      <c r="Q15" s="1184" t="s">
        <v>148</v>
      </c>
      <c r="R15" s="1117" t="s">
        <v>145</v>
      </c>
      <c r="S15" s="1376"/>
      <c r="T15" s="1283"/>
      <c r="U15" s="1342">
        <v>0.6875</v>
      </c>
      <c r="V15" s="1342">
        <v>0</v>
      </c>
      <c r="W15" s="1233">
        <v>0.54166666666666663</v>
      </c>
      <c r="X15" s="1233">
        <v>0.875</v>
      </c>
      <c r="Y15" s="1234">
        <v>0.41666666666666669</v>
      </c>
      <c r="Z15" s="1273">
        <v>0.70833333333333337</v>
      </c>
      <c r="AA15" s="1366"/>
      <c r="AB15" s="1339"/>
      <c r="AC15" s="1339"/>
      <c r="AD15" s="1339"/>
      <c r="AE15" s="1232">
        <v>0.58333333333333337</v>
      </c>
      <c r="AF15" s="1247">
        <v>0.90972222222222221</v>
      </c>
      <c r="AG15" s="1184" t="s">
        <v>148</v>
      </c>
      <c r="AH15" s="1117" t="s">
        <v>145</v>
      </c>
      <c r="AI15" s="1111">
        <v>0.83333333333333337</v>
      </c>
      <c r="AJ15" s="1111">
        <v>8.3333333333333329E-2</v>
      </c>
      <c r="AK15" s="1283"/>
      <c r="AL15" s="1283"/>
      <c r="AM15" s="1193">
        <v>0.58333333333333337</v>
      </c>
      <c r="AN15" s="1193">
        <v>0.90972222222222221</v>
      </c>
      <c r="AO15" s="1193">
        <v>0.64583333333333337</v>
      </c>
      <c r="AP15" s="1193">
        <v>0.96527777777777779</v>
      </c>
      <c r="AQ15" s="1283"/>
      <c r="AR15" s="1283"/>
      <c r="AS15" s="1508"/>
      <c r="AT15" s="1508"/>
      <c r="AU15" s="1283"/>
      <c r="AV15" s="1283"/>
      <c r="AW15" s="1184" t="s">
        <v>148</v>
      </c>
      <c r="AX15" s="1362" t="s">
        <v>145</v>
      </c>
      <c r="AY15" s="1111">
        <v>0.83333333333333337</v>
      </c>
      <c r="AZ15" s="1111">
        <v>8.3333333333333329E-2</v>
      </c>
      <c r="BA15" s="1283"/>
      <c r="BB15" s="1283"/>
      <c r="BC15" s="1237">
        <v>0.58333333333333337</v>
      </c>
      <c r="BD15" s="1237">
        <v>0.90972222222222221</v>
      </c>
      <c r="BE15" s="1237">
        <v>0.64583333333333337</v>
      </c>
      <c r="BF15" s="1237">
        <v>0.96527777777777779</v>
      </c>
      <c r="BG15" s="1442"/>
      <c r="BH15" s="1442"/>
      <c r="BI15" s="1442"/>
      <c r="BJ15" s="1442"/>
      <c r="BK15" s="1509"/>
      <c r="BL15" s="1509"/>
      <c r="BM15" s="1184" t="s">
        <v>148</v>
      </c>
      <c r="BN15" s="1117" t="s">
        <v>145</v>
      </c>
      <c r="BO15" s="1453">
        <v>0.64583333333333337</v>
      </c>
      <c r="BP15" s="1232">
        <v>0.96527777777777779</v>
      </c>
      <c r="BQ15" s="1604">
        <v>0.79166666666666663</v>
      </c>
      <c r="BR15" s="1111">
        <v>8.3333333333333329E-2</v>
      </c>
      <c r="BS15" s="1601">
        <v>0.6875</v>
      </c>
      <c r="BT15" s="1601">
        <v>0.96527777777777779</v>
      </c>
      <c r="BU15" s="1232">
        <v>0.64583333333333337</v>
      </c>
      <c r="BV15" s="1247">
        <v>0.96527777777777779</v>
      </c>
      <c r="BW15" s="1364"/>
      <c r="BX15" s="1338"/>
      <c r="BY15" s="1338"/>
      <c r="BZ15" s="1338"/>
      <c r="CA15" s="1245"/>
      <c r="CB15" s="1245"/>
      <c r="CC15" s="1184" t="s">
        <v>148</v>
      </c>
      <c r="CD15" s="1117" t="s">
        <v>145</v>
      </c>
      <c r="CE15" s="1521">
        <v>0.54166666666666663</v>
      </c>
      <c r="CF15" s="1233">
        <v>0.875</v>
      </c>
      <c r="CG15" s="1740"/>
      <c r="CH15" s="1740"/>
      <c r="CI15" s="1233">
        <v>0.6875</v>
      </c>
      <c r="CJ15" s="1233">
        <v>0</v>
      </c>
      <c r="CK15" s="1232">
        <v>0.6875</v>
      </c>
      <c r="CL15" s="1523">
        <v>0</v>
      </c>
      <c r="CM15" s="1705"/>
      <c r="CN15" s="1704"/>
      <c r="CO15" s="1704"/>
      <c r="CP15" s="1704"/>
      <c r="CQ15" s="1706"/>
      <c r="CR15" s="1712"/>
      <c r="CS15" s="1184" t="s">
        <v>148</v>
      </c>
      <c r="CT15" s="1117" t="s">
        <v>145</v>
      </c>
      <c r="CU15" s="1453"/>
      <c r="CV15" s="1232"/>
      <c r="CW15" s="1232"/>
      <c r="CX15" s="1232"/>
      <c r="CY15" s="1233"/>
      <c r="CZ15" s="1233"/>
      <c r="DA15" s="1232"/>
      <c r="DB15" s="1247"/>
      <c r="DC15" s="1365"/>
      <c r="DD15" s="1232"/>
      <c r="DE15" s="1232"/>
      <c r="DF15" s="1232"/>
      <c r="DG15" s="1233"/>
      <c r="DH15" s="1233"/>
    </row>
    <row r="16" spans="1:112" ht="16.5" thickBot="1" x14ac:dyDescent="0.3">
      <c r="A16" s="962" t="s">
        <v>149</v>
      </c>
      <c r="B16" s="966" t="s">
        <v>145</v>
      </c>
      <c r="C16" s="1067" t="s">
        <v>132</v>
      </c>
      <c r="D16" s="1068" t="s">
        <v>132</v>
      </c>
      <c r="E16" s="1068" t="s">
        <v>132</v>
      </c>
      <c r="F16" s="1068" t="s">
        <v>132</v>
      </c>
      <c r="G16" s="1068" t="s">
        <v>132</v>
      </c>
      <c r="H16" s="1068" t="s">
        <v>132</v>
      </c>
      <c r="I16" s="1068" t="s">
        <v>132</v>
      </c>
      <c r="J16" s="1068" t="s">
        <v>132</v>
      </c>
      <c r="K16" s="1068" t="s">
        <v>132</v>
      </c>
      <c r="L16" s="1068" t="s">
        <v>132</v>
      </c>
      <c r="M16" s="1068" t="s">
        <v>132</v>
      </c>
      <c r="N16" s="1068" t="s">
        <v>132</v>
      </c>
      <c r="O16" s="1068" t="s">
        <v>132</v>
      </c>
      <c r="P16" s="1069" t="s">
        <v>132</v>
      </c>
      <c r="Q16" s="1184" t="s">
        <v>149</v>
      </c>
      <c r="R16" s="1362" t="s">
        <v>145</v>
      </c>
      <c r="S16" s="1377">
        <v>0.72916666666666663</v>
      </c>
      <c r="T16" s="1341">
        <v>0</v>
      </c>
      <c r="U16" s="1232">
        <v>0.66666666666666663</v>
      </c>
      <c r="V16" s="1232">
        <v>0.97916666666666663</v>
      </c>
      <c r="W16" s="1245"/>
      <c r="X16" s="1245"/>
      <c r="Y16" s="1111">
        <v>0.79166666666666663</v>
      </c>
      <c r="Z16" s="1246">
        <v>8.3333333333333329E-2</v>
      </c>
      <c r="AA16" s="1367">
        <v>0.6875</v>
      </c>
      <c r="AB16" s="1233">
        <v>0</v>
      </c>
      <c r="AC16" s="1245"/>
      <c r="AD16" s="1245"/>
      <c r="AE16" s="1245"/>
      <c r="AF16" s="1353"/>
      <c r="AG16" s="1184" t="s">
        <v>149</v>
      </c>
      <c r="AH16" s="1362" t="s">
        <v>145</v>
      </c>
      <c r="AI16" s="1509"/>
      <c r="AJ16" s="1509"/>
      <c r="AK16" s="1111">
        <v>0.79166666666666663</v>
      </c>
      <c r="AL16" s="1111">
        <v>8.3333333333333329E-2</v>
      </c>
      <c r="AM16" s="1237">
        <v>0.72916666666666663</v>
      </c>
      <c r="AN16" s="1237">
        <v>0</v>
      </c>
      <c r="AO16" s="1237">
        <v>0.66666666666666663</v>
      </c>
      <c r="AP16" s="1237">
        <v>0.97916666666666663</v>
      </c>
      <c r="AQ16" s="1442"/>
      <c r="AR16" s="1442"/>
      <c r="AS16" s="1442"/>
      <c r="AT16" s="1442"/>
      <c r="AU16" s="1509"/>
      <c r="AV16" s="1509"/>
      <c r="AW16" s="1184" t="s">
        <v>149</v>
      </c>
      <c r="AX16" s="1362" t="s">
        <v>145</v>
      </c>
      <c r="AY16" s="1509"/>
      <c r="AZ16" s="1509"/>
      <c r="BA16" s="1111">
        <v>0.79166666666666663</v>
      </c>
      <c r="BB16" s="1111">
        <v>8.3333333333333329E-2</v>
      </c>
      <c r="BC16" s="1237">
        <v>0.72916666666666663</v>
      </c>
      <c r="BD16" s="1237">
        <v>0</v>
      </c>
      <c r="BE16" s="1237">
        <v>0.66666666666666663</v>
      </c>
      <c r="BF16" s="1237">
        <v>0.97916666666666663</v>
      </c>
      <c r="BG16" s="1442"/>
      <c r="BH16" s="1442"/>
      <c r="BI16" s="1442"/>
      <c r="BJ16" s="1442"/>
      <c r="BK16" s="1509"/>
      <c r="BL16" s="1509"/>
      <c r="BM16" s="1184" t="s">
        <v>149</v>
      </c>
      <c r="BN16" s="1117" t="s">
        <v>145</v>
      </c>
      <c r="BO16" s="1446">
        <v>0.66666666666666663</v>
      </c>
      <c r="BP16" s="1233">
        <v>0.97916666666666663</v>
      </c>
      <c r="BQ16" s="1193">
        <v>0.66666666666666663</v>
      </c>
      <c r="BR16" s="1193">
        <v>0.97916666666666663</v>
      </c>
      <c r="BS16" s="1111">
        <v>0.83333333333333337</v>
      </c>
      <c r="BT16" s="1111">
        <v>8.3333333333333329E-2</v>
      </c>
      <c r="BU16" s="1232">
        <v>0.6875</v>
      </c>
      <c r="BV16" s="1247">
        <v>0</v>
      </c>
      <c r="BW16" s="1367">
        <v>0.66666666666666663</v>
      </c>
      <c r="BX16" s="1233">
        <v>0.97916666666666663</v>
      </c>
      <c r="BY16" s="1245"/>
      <c r="BZ16" s="1245"/>
      <c r="CA16" s="1245"/>
      <c r="CB16" s="1245"/>
      <c r="CC16" s="1184" t="s">
        <v>149</v>
      </c>
      <c r="CD16" s="1117" t="s">
        <v>145</v>
      </c>
      <c r="CE16" s="1685"/>
      <c r="CF16" s="1245"/>
      <c r="CG16" s="1338"/>
      <c r="CH16" s="1338"/>
      <c r="CI16" s="1193">
        <v>0.6875</v>
      </c>
      <c r="CJ16" s="1193">
        <v>0</v>
      </c>
      <c r="CK16" s="1111">
        <v>0.79166666666666663</v>
      </c>
      <c r="CL16" s="1726">
        <v>8.3333333333333329E-2</v>
      </c>
      <c r="CM16" s="1713"/>
      <c r="CN16" s="1706"/>
      <c r="CO16" s="1706"/>
      <c r="CP16" s="1706"/>
      <c r="CQ16" s="1233">
        <v>0.6875</v>
      </c>
      <c r="CR16" s="1522">
        <v>0</v>
      </c>
      <c r="CS16" s="1184" t="s">
        <v>149</v>
      </c>
      <c r="CT16" s="1362" t="s">
        <v>145</v>
      </c>
      <c r="CU16" s="1446"/>
      <c r="CV16" s="1233"/>
      <c r="CW16" s="1232"/>
      <c r="CX16" s="1232"/>
      <c r="CY16" s="1233"/>
      <c r="CZ16" s="1233"/>
      <c r="DA16" s="1232"/>
      <c r="DB16" s="1247"/>
      <c r="DC16" s="1367"/>
      <c r="DD16" s="1233"/>
      <c r="DE16" s="1233"/>
      <c r="DF16" s="1233"/>
      <c r="DG16" s="1233"/>
      <c r="DH16" s="1233"/>
    </row>
    <row r="17" spans="1:347" ht="15.75" x14ac:dyDescent="0.25">
      <c r="A17" s="967"/>
      <c r="B17" s="968"/>
      <c r="C17" s="1070"/>
      <c r="D17" s="1071"/>
      <c r="E17" s="1071"/>
      <c r="F17" s="1071"/>
      <c r="G17" s="1071"/>
      <c r="H17" s="1071"/>
      <c r="I17" s="1071"/>
      <c r="J17" s="1072"/>
      <c r="K17" s="1070"/>
      <c r="L17" s="1071"/>
      <c r="M17" s="1071"/>
      <c r="N17" s="1071"/>
      <c r="O17" s="1071"/>
      <c r="P17" s="1072"/>
      <c r="Q17" s="1182" t="s">
        <v>150</v>
      </c>
      <c r="R17" s="1316" t="s">
        <v>145</v>
      </c>
      <c r="S17" s="1376"/>
      <c r="T17" s="1283"/>
      <c r="U17" s="1232">
        <v>0.64583333333333337</v>
      </c>
      <c r="V17" s="1232">
        <v>0.96527777777777779</v>
      </c>
      <c r="W17" s="1341">
        <v>0.6875</v>
      </c>
      <c r="X17" s="1341">
        <v>0.96527777777777779</v>
      </c>
      <c r="Y17" s="1237">
        <v>0.6875</v>
      </c>
      <c r="Z17" s="1274">
        <v>0</v>
      </c>
      <c r="AA17" s="1363"/>
      <c r="AB17" s="1245"/>
      <c r="AC17" s="1245"/>
      <c r="AD17" s="1245"/>
      <c r="AE17" s="1233">
        <v>0.64583333333333337</v>
      </c>
      <c r="AF17" s="1355">
        <v>0.96527777777777779</v>
      </c>
      <c r="AG17" s="1182" t="s">
        <v>150</v>
      </c>
      <c r="AH17" s="1316" t="s">
        <v>145</v>
      </c>
      <c r="AI17" s="1509"/>
      <c r="AJ17" s="1509"/>
      <c r="AK17" s="1462">
        <v>0.45833333333333331</v>
      </c>
      <c r="AL17" s="1462">
        <v>0.75</v>
      </c>
      <c r="AM17" s="1193">
        <v>0.45833333333333331</v>
      </c>
      <c r="AN17" s="1193">
        <v>0.79166666666666663</v>
      </c>
      <c r="AO17" s="1193">
        <v>0.66666666666666663</v>
      </c>
      <c r="AP17" s="1193">
        <v>0.97916666666666663</v>
      </c>
      <c r="AQ17" s="1442"/>
      <c r="AR17" s="1442"/>
      <c r="AS17" s="1442"/>
      <c r="AT17" s="1442"/>
      <c r="AU17" s="1509"/>
      <c r="AV17" s="1509"/>
      <c r="AW17" s="1182" t="s">
        <v>150</v>
      </c>
      <c r="AX17" s="1316" t="s">
        <v>145</v>
      </c>
      <c r="AY17" s="1509"/>
      <c r="AZ17" s="1509"/>
      <c r="BA17" s="1462">
        <v>0.45833333333333331</v>
      </c>
      <c r="BB17" s="1462">
        <v>0.75</v>
      </c>
      <c r="BC17" s="1193">
        <v>0.45833333333333331</v>
      </c>
      <c r="BD17" s="1193">
        <v>0.79166666666666663</v>
      </c>
      <c r="BE17" s="1193">
        <v>0.66666666666666663</v>
      </c>
      <c r="BF17" s="1193">
        <v>0.97916666666666663</v>
      </c>
      <c r="BG17" s="1442"/>
      <c r="BH17" s="1442"/>
      <c r="BI17" s="1442"/>
      <c r="BJ17" s="1442"/>
      <c r="BK17" s="1509"/>
      <c r="BL17" s="1509"/>
      <c r="BM17" s="1182" t="s">
        <v>150</v>
      </c>
      <c r="BN17" s="1117" t="s">
        <v>145</v>
      </c>
      <c r="BO17" s="1453">
        <v>0.45833333333333331</v>
      </c>
      <c r="BP17" s="1232">
        <v>0.79166666666666663</v>
      </c>
      <c r="BQ17" s="1453">
        <v>0.66666666666666663</v>
      </c>
      <c r="BR17" s="1232">
        <v>0.97916666666666663</v>
      </c>
      <c r="BS17" s="1601">
        <v>0.54166666666666663</v>
      </c>
      <c r="BT17" s="1601">
        <v>0.83333333333333337</v>
      </c>
      <c r="BU17" s="1233">
        <v>0.64583333333333337</v>
      </c>
      <c r="BV17" s="1355">
        <v>0.96527777777777779</v>
      </c>
      <c r="BW17" s="1363"/>
      <c r="BX17" s="1245"/>
      <c r="BY17" s="1245"/>
      <c r="BZ17" s="1245"/>
      <c r="CA17" s="1689">
        <v>0.79166666666666663</v>
      </c>
      <c r="CB17" s="1689">
        <v>8.3333333333333329E-2</v>
      </c>
      <c r="CC17" s="1182" t="s">
        <v>150</v>
      </c>
      <c r="CD17" s="1117" t="s">
        <v>145</v>
      </c>
      <c r="CE17" s="1685"/>
      <c r="CF17" s="1245"/>
      <c r="CG17" s="1338"/>
      <c r="CH17" s="1338"/>
      <c r="CI17" s="1233">
        <v>0.45833333333333331</v>
      </c>
      <c r="CJ17" s="1233">
        <v>0.79166666666666663</v>
      </c>
      <c r="CK17" s="1233">
        <v>0.54166666666666663</v>
      </c>
      <c r="CL17" s="1522">
        <v>0.875</v>
      </c>
      <c r="CM17" s="1713"/>
      <c r="CN17" s="1706"/>
      <c r="CO17" s="1706"/>
      <c r="CP17" s="1706"/>
      <c r="CQ17" s="1706"/>
      <c r="CR17" s="1712"/>
      <c r="CS17" s="1182" t="s">
        <v>150</v>
      </c>
      <c r="CT17" s="1316" t="s">
        <v>145</v>
      </c>
      <c r="CU17" s="1453"/>
      <c r="CV17" s="1232"/>
      <c r="CW17" s="1232"/>
      <c r="CX17" s="1232"/>
      <c r="CY17" s="1233"/>
      <c r="CZ17" s="1233"/>
      <c r="DA17" s="1233"/>
      <c r="DB17" s="1355"/>
      <c r="DC17" s="1367"/>
      <c r="DD17" s="1233"/>
      <c r="DE17" s="1233"/>
      <c r="DF17" s="1233"/>
      <c r="DG17" s="1233"/>
      <c r="DH17" s="1233"/>
    </row>
    <row r="18" spans="1:347" ht="15.75" x14ac:dyDescent="0.25">
      <c r="A18" s="967"/>
      <c r="B18" s="968"/>
      <c r="C18" s="1070"/>
      <c r="D18" s="1071"/>
      <c r="E18" s="1071"/>
      <c r="F18" s="1071"/>
      <c r="G18" s="1071"/>
      <c r="H18" s="1071"/>
      <c r="I18" s="1071"/>
      <c r="J18" s="1072"/>
      <c r="K18" s="1070"/>
      <c r="L18" s="1071"/>
      <c r="M18" s="1071"/>
      <c r="N18" s="1071"/>
      <c r="O18" s="1071"/>
      <c r="P18" s="1072"/>
      <c r="Q18" s="1182" t="s">
        <v>151</v>
      </c>
      <c r="R18" s="1117" t="s">
        <v>145</v>
      </c>
      <c r="S18" s="1349">
        <v>0.64583333333333337</v>
      </c>
      <c r="T18" s="1193">
        <v>0.96527777777777779</v>
      </c>
      <c r="U18" s="1338"/>
      <c r="V18" s="1338"/>
      <c r="W18" s="1341">
        <v>0.54166666666666663</v>
      </c>
      <c r="X18" s="1341">
        <v>0.83333333333333337</v>
      </c>
      <c r="Y18" s="1237">
        <v>0.58333333333333337</v>
      </c>
      <c r="Z18" s="1274">
        <v>0.90972222222222221</v>
      </c>
      <c r="AA18" s="1363"/>
      <c r="AB18" s="1245"/>
      <c r="AC18" s="1245"/>
      <c r="AD18" s="1245"/>
      <c r="AE18" s="1233">
        <v>0.66666666666666663</v>
      </c>
      <c r="AF18" s="1355">
        <v>0.97916666666666663</v>
      </c>
      <c r="AG18" s="1182" t="s">
        <v>151</v>
      </c>
      <c r="AH18" s="1117" t="s">
        <v>145</v>
      </c>
      <c r="AI18" s="1442"/>
      <c r="AJ18" s="1442"/>
      <c r="AK18" s="1462">
        <v>0.45833333333333331</v>
      </c>
      <c r="AL18" s="1462">
        <v>0.75</v>
      </c>
      <c r="AM18" s="1237">
        <v>0.64583333333333337</v>
      </c>
      <c r="AN18" s="1237">
        <v>0.96527777777777779</v>
      </c>
      <c r="AO18" s="1237">
        <v>0.66666666666666663</v>
      </c>
      <c r="AP18" s="1237">
        <v>0.97916666666666663</v>
      </c>
      <c r="AQ18" s="1509"/>
      <c r="AR18" s="1509"/>
      <c r="AS18" s="1509"/>
      <c r="AT18" s="1509"/>
      <c r="AU18" s="1509"/>
      <c r="AV18" s="1509"/>
      <c r="AW18" s="1182" t="s">
        <v>151</v>
      </c>
      <c r="AX18" s="1117" t="s">
        <v>145</v>
      </c>
      <c r="AY18" s="1442"/>
      <c r="AZ18" s="1442"/>
      <c r="BA18" s="1462">
        <v>0.45833333333333331</v>
      </c>
      <c r="BB18" s="1462">
        <v>0.75</v>
      </c>
      <c r="BC18" s="1237">
        <v>0.64583333333333337</v>
      </c>
      <c r="BD18" s="1237">
        <v>0.96527777777777779</v>
      </c>
      <c r="BE18" s="1237">
        <v>0.66666666666666663</v>
      </c>
      <c r="BF18" s="1237">
        <v>0.97916666666666663</v>
      </c>
      <c r="BG18" s="1509"/>
      <c r="BH18" s="1509"/>
      <c r="BI18" s="1509"/>
      <c r="BJ18" s="1509"/>
      <c r="BK18" s="1509"/>
      <c r="BL18" s="1509"/>
      <c r="BM18" s="1182" t="s">
        <v>152</v>
      </c>
      <c r="BN18" s="1117" t="s">
        <v>145</v>
      </c>
      <c r="BO18" s="1453">
        <v>0.6875</v>
      </c>
      <c r="BP18" s="1232">
        <v>0</v>
      </c>
      <c r="BQ18" s="1232">
        <v>0.54166666666666663</v>
      </c>
      <c r="BR18" s="1232">
        <v>0.875</v>
      </c>
      <c r="BS18" s="1233">
        <v>0.64583333333333337</v>
      </c>
      <c r="BT18" s="1233">
        <v>0.96527777777777779</v>
      </c>
      <c r="BU18" s="1601">
        <v>0.70833333333333337</v>
      </c>
      <c r="BV18" s="1603">
        <v>0.97916666666666663</v>
      </c>
      <c r="BW18" s="1363"/>
      <c r="BX18" s="1245"/>
      <c r="BY18" s="1234">
        <v>0.47916666666666669</v>
      </c>
      <c r="BZ18" s="1234">
        <v>0.8125</v>
      </c>
      <c r="CA18" s="1245"/>
      <c r="CB18" s="1245"/>
      <c r="CC18" s="1182" t="s">
        <v>152</v>
      </c>
      <c r="CD18" s="1117" t="s">
        <v>145</v>
      </c>
      <c r="CE18" s="1727"/>
      <c r="CF18" s="1704"/>
      <c r="CG18" s="1723">
        <v>0.79166666666666663</v>
      </c>
      <c r="CH18" s="1723">
        <v>8.3333333333333329E-2</v>
      </c>
      <c r="CI18" s="1233">
        <v>0.64583333333333337</v>
      </c>
      <c r="CJ18" s="1233">
        <v>0.96527777777777779</v>
      </c>
      <c r="CK18" s="1231"/>
      <c r="CL18" s="1743"/>
      <c r="CM18" s="1713"/>
      <c r="CN18" s="1706"/>
      <c r="CO18" s="1193">
        <v>0.45833333333333331</v>
      </c>
      <c r="CP18" s="1193">
        <v>0.79166666666666663</v>
      </c>
      <c r="CQ18" s="1706"/>
      <c r="CR18" s="1712"/>
      <c r="CS18" s="1182" t="s">
        <v>151</v>
      </c>
      <c r="CT18" s="1117" t="s">
        <v>145</v>
      </c>
      <c r="CU18" s="1453"/>
      <c r="CV18" s="1232"/>
      <c r="CW18" s="1232"/>
      <c r="CX18" s="1232"/>
      <c r="CY18" s="1233"/>
      <c r="CZ18" s="1233"/>
      <c r="DA18" s="1233"/>
      <c r="DB18" s="1355"/>
      <c r="DC18" s="1367"/>
      <c r="DD18" s="1233"/>
      <c r="DE18" s="1233"/>
      <c r="DF18" s="1233"/>
      <c r="DG18" s="1233"/>
      <c r="DH18" s="1233"/>
    </row>
    <row r="19" spans="1:347" ht="15.75" x14ac:dyDescent="0.25">
      <c r="A19" s="967"/>
      <c r="B19" s="968"/>
      <c r="C19" s="1070"/>
      <c r="D19" s="1071"/>
      <c r="E19" s="1071"/>
      <c r="F19" s="1071"/>
      <c r="G19" s="1071"/>
      <c r="H19" s="1071"/>
      <c r="I19" s="1071"/>
      <c r="J19" s="1072"/>
      <c r="K19" s="1070"/>
      <c r="L19" s="1071"/>
      <c r="M19" s="1071"/>
      <c r="N19" s="1071"/>
      <c r="O19" s="1071"/>
      <c r="P19" s="1072"/>
      <c r="Q19" s="1182" t="s">
        <v>153</v>
      </c>
      <c r="R19" s="1117" t="s">
        <v>145</v>
      </c>
      <c r="S19" s="1375">
        <v>0.6875</v>
      </c>
      <c r="T19" s="1342">
        <v>0.96527777777777779</v>
      </c>
      <c r="U19" s="1361">
        <v>0.66666666666666663</v>
      </c>
      <c r="V19" s="1361">
        <v>0.97916666666666663</v>
      </c>
      <c r="W19" s="1245"/>
      <c r="X19" s="1245"/>
      <c r="Y19" s="1237">
        <v>0.66666666666666663</v>
      </c>
      <c r="Z19" s="1274">
        <v>0.97916666666666663</v>
      </c>
      <c r="AA19" s="1367">
        <v>0.58333333333333337</v>
      </c>
      <c r="AB19" s="1233">
        <v>0.90972222222222221</v>
      </c>
      <c r="AC19" s="1245"/>
      <c r="AD19" s="1245"/>
      <c r="AE19" s="1245"/>
      <c r="AF19" s="1353"/>
      <c r="AG19" s="1182" t="s">
        <v>153</v>
      </c>
      <c r="AH19" s="1117" t="s">
        <v>145</v>
      </c>
      <c r="AI19" s="1442"/>
      <c r="AJ19" s="1442"/>
      <c r="AK19" s="1462">
        <v>0.45833333333333331</v>
      </c>
      <c r="AL19" s="1462">
        <v>0.75</v>
      </c>
      <c r="AM19" s="1237">
        <v>0.6875</v>
      </c>
      <c r="AN19" s="1237">
        <v>0</v>
      </c>
      <c r="AO19" s="1237">
        <v>0.58333333333333337</v>
      </c>
      <c r="AP19" s="1237">
        <v>0.90972222222222221</v>
      </c>
      <c r="AQ19" s="1509"/>
      <c r="AR19" s="1509"/>
      <c r="AS19" s="1442"/>
      <c r="AT19" s="1442"/>
      <c r="AU19" s="1509"/>
      <c r="AV19" s="1509"/>
      <c r="AW19" s="1182" t="s">
        <v>153</v>
      </c>
      <c r="AX19" s="1117" t="s">
        <v>145</v>
      </c>
      <c r="AY19" s="1442"/>
      <c r="AZ19" s="1442"/>
      <c r="BA19" s="1462">
        <v>0.45833333333333331</v>
      </c>
      <c r="BB19" s="1462">
        <v>0.75</v>
      </c>
      <c r="BC19" s="1237">
        <v>0.6875</v>
      </c>
      <c r="BD19" s="1237">
        <v>0</v>
      </c>
      <c r="BE19" s="1237">
        <v>0.58333333333333337</v>
      </c>
      <c r="BF19" s="1237">
        <v>0.90972222222222221</v>
      </c>
      <c r="BG19" s="1509"/>
      <c r="BH19" s="1509"/>
      <c r="BI19" s="1442"/>
      <c r="BJ19" s="1442"/>
      <c r="BK19" s="1509"/>
      <c r="BL19" s="1509"/>
      <c r="BM19" s="1182" t="s">
        <v>153</v>
      </c>
      <c r="BN19" s="1117" t="s">
        <v>145</v>
      </c>
      <c r="BO19" s="1453">
        <v>0.625</v>
      </c>
      <c r="BP19" s="1232">
        <v>0.94444444444444442</v>
      </c>
      <c r="BQ19" s="1232">
        <v>0.625</v>
      </c>
      <c r="BR19" s="1232">
        <v>0.94444444444444442</v>
      </c>
      <c r="BS19" s="1233">
        <v>0.64583333333333337</v>
      </c>
      <c r="BT19" s="1233">
        <v>0.96527777777777779</v>
      </c>
      <c r="BU19" s="1601">
        <v>0.72916666666666663</v>
      </c>
      <c r="BV19" s="1603">
        <v>0</v>
      </c>
      <c r="BW19" s="1363"/>
      <c r="BX19" s="1245"/>
      <c r="BY19" s="1245"/>
      <c r="BZ19" s="1245"/>
      <c r="CA19" s="1245"/>
      <c r="CB19" s="1245"/>
      <c r="CC19" s="1182" t="s">
        <v>153</v>
      </c>
      <c r="CD19" s="1117" t="s">
        <v>145</v>
      </c>
      <c r="CE19" s="1735"/>
      <c r="CF19" s="1733"/>
      <c r="CG19" s="1113">
        <v>0.39583333333333331</v>
      </c>
      <c r="CH19" s="1113">
        <v>0.72916666666666663</v>
      </c>
      <c r="CI19" s="1233">
        <v>0.64583333333333337</v>
      </c>
      <c r="CJ19" s="1233">
        <v>0.96527777777777779</v>
      </c>
      <c r="CK19" s="1233">
        <v>0.6875</v>
      </c>
      <c r="CL19" s="1522">
        <v>0</v>
      </c>
      <c r="CM19" s="1713"/>
      <c r="CN19" s="1706"/>
      <c r="CO19" s="1706"/>
      <c r="CP19" s="1706"/>
      <c r="CQ19" s="1233">
        <v>0.64583333333333337</v>
      </c>
      <c r="CR19" s="1522">
        <v>0.96527777777777779</v>
      </c>
      <c r="CS19" s="1182" t="s">
        <v>153</v>
      </c>
      <c r="CT19" s="1117" t="s">
        <v>145</v>
      </c>
      <c r="CU19" s="1453"/>
      <c r="CV19" s="1232"/>
      <c r="CW19" s="1232"/>
      <c r="CX19" s="1232"/>
      <c r="CY19" s="1233"/>
      <c r="CZ19" s="1233"/>
      <c r="DA19" s="1233"/>
      <c r="DB19" s="1355"/>
      <c r="DC19" s="1367"/>
      <c r="DD19" s="1233"/>
      <c r="DE19" s="1233"/>
      <c r="DF19" s="1233"/>
      <c r="DG19" s="1233"/>
      <c r="DH19" s="1233"/>
    </row>
    <row r="20" spans="1:347" ht="15.75" x14ac:dyDescent="0.25">
      <c r="A20" s="967"/>
      <c r="B20" s="968"/>
      <c r="C20" s="1070"/>
      <c r="D20" s="1071"/>
      <c r="E20" s="1071"/>
      <c r="F20" s="1071"/>
      <c r="G20" s="1071"/>
      <c r="H20" s="1071"/>
      <c r="I20" s="1071"/>
      <c r="J20" s="1072"/>
      <c r="K20" s="1070"/>
      <c r="L20" s="1071"/>
      <c r="M20" s="1071"/>
      <c r="N20" s="1071"/>
      <c r="O20" s="1071"/>
      <c r="P20" s="1072"/>
      <c r="Q20" s="1182" t="s">
        <v>154</v>
      </c>
      <c r="R20" s="1117" t="s">
        <v>145</v>
      </c>
      <c r="S20" s="1349">
        <v>0.6875</v>
      </c>
      <c r="T20" s="1193">
        <v>0</v>
      </c>
      <c r="U20" s="1338"/>
      <c r="V20" s="1338"/>
      <c r="W20" s="1341">
        <v>0.45833333333333331</v>
      </c>
      <c r="X20" s="1341">
        <v>0.75</v>
      </c>
      <c r="Y20" s="1237">
        <v>0.66666666666666663</v>
      </c>
      <c r="Z20" s="1274">
        <v>0.97916666666666663</v>
      </c>
      <c r="AA20" s="1363"/>
      <c r="AB20" s="1245"/>
      <c r="AC20" s="1233">
        <v>0.58333333333333337</v>
      </c>
      <c r="AD20" s="1233">
        <v>0.90972222222222221</v>
      </c>
      <c r="AE20" s="1245"/>
      <c r="AF20" s="1353"/>
      <c r="AG20" s="1182" t="s">
        <v>154</v>
      </c>
      <c r="AH20" s="1117" t="s">
        <v>145</v>
      </c>
      <c r="AI20" s="1442"/>
      <c r="AJ20" s="1442"/>
      <c r="AK20" s="1462">
        <v>0.45833333333333331</v>
      </c>
      <c r="AL20" s="1462">
        <v>0.75</v>
      </c>
      <c r="AM20" s="1237">
        <v>0.66666666666666663</v>
      </c>
      <c r="AN20" s="1237">
        <v>0.97916666666666663</v>
      </c>
      <c r="AO20" s="1237">
        <v>0.54166666666666663</v>
      </c>
      <c r="AP20" s="1237">
        <v>0.875</v>
      </c>
      <c r="AQ20" s="1509"/>
      <c r="AR20" s="1509"/>
      <c r="AS20" s="1442"/>
      <c r="AT20" s="1442"/>
      <c r="AU20" s="1509"/>
      <c r="AV20" s="1509"/>
      <c r="AW20" s="1182" t="s">
        <v>154</v>
      </c>
      <c r="AX20" s="1117" t="s">
        <v>145</v>
      </c>
      <c r="AY20" s="1442"/>
      <c r="AZ20" s="1442"/>
      <c r="BA20" s="1462">
        <v>0.45833333333333331</v>
      </c>
      <c r="BB20" s="1462">
        <v>0.75</v>
      </c>
      <c r="BC20" s="1237">
        <v>0.66666666666666663</v>
      </c>
      <c r="BD20" s="1237">
        <v>0.97916666666666663</v>
      </c>
      <c r="BE20" s="1237">
        <v>0.54166666666666663</v>
      </c>
      <c r="BF20" s="1237">
        <v>0.875</v>
      </c>
      <c r="BG20" s="1509"/>
      <c r="BH20" s="1509"/>
      <c r="BI20" s="1442"/>
      <c r="BJ20" s="1442"/>
      <c r="BK20" s="1509"/>
      <c r="BL20" s="1509"/>
      <c r="BM20" s="1182" t="s">
        <v>154</v>
      </c>
      <c r="BN20" s="1117" t="s">
        <v>145</v>
      </c>
      <c r="BO20" s="1453">
        <v>0.58333333333333337</v>
      </c>
      <c r="BP20" s="1232">
        <v>0.90972222222222221</v>
      </c>
      <c r="BQ20" s="1453">
        <v>0.58333333333333337</v>
      </c>
      <c r="BR20" s="1232">
        <v>0.90972222222222221</v>
      </c>
      <c r="BS20" s="1601">
        <v>0.70833333333333337</v>
      </c>
      <c r="BT20" s="1601">
        <v>0.97916666666666663</v>
      </c>
      <c r="BU20" s="1233">
        <v>0.58333333333333337</v>
      </c>
      <c r="BV20" s="1355">
        <v>0.90972222222222221</v>
      </c>
      <c r="BW20" s="1363"/>
      <c r="BX20" s="1245"/>
      <c r="BY20" s="1245"/>
      <c r="BZ20" s="1245"/>
      <c r="CA20" s="1245"/>
      <c r="CB20" s="1245"/>
      <c r="CC20" s="1182" t="s">
        <v>154</v>
      </c>
      <c r="CD20" s="1117" t="s">
        <v>145</v>
      </c>
      <c r="CE20" s="1728">
        <v>0.58333333333333337</v>
      </c>
      <c r="CF20" s="1452">
        <v>0.90972222222222221</v>
      </c>
      <c r="CG20" s="1742"/>
      <c r="CH20" s="1733"/>
      <c r="CI20" s="1233">
        <v>0.66666666666666663</v>
      </c>
      <c r="CJ20" s="1233">
        <v>0.97916666666666663</v>
      </c>
      <c r="CK20" s="1233">
        <v>0.58333333333333337</v>
      </c>
      <c r="CL20" s="1522">
        <v>0.90972222222222221</v>
      </c>
      <c r="CM20" s="1713"/>
      <c r="CN20" s="1706"/>
      <c r="CO20" s="1706"/>
      <c r="CP20" s="1706"/>
      <c r="CQ20" s="1233">
        <v>0.45833333333333331</v>
      </c>
      <c r="CR20" s="1522">
        <v>0.79166666666666663</v>
      </c>
      <c r="CS20" s="1182" t="s">
        <v>154</v>
      </c>
      <c r="CT20" s="1117" t="s">
        <v>145</v>
      </c>
      <c r="CU20" s="1453"/>
      <c r="CV20" s="1232"/>
      <c r="CW20" s="1232"/>
      <c r="CX20" s="1232"/>
      <c r="CY20" s="1233"/>
      <c r="CZ20" s="1233"/>
      <c r="DA20" s="1233"/>
      <c r="DB20" s="1355"/>
      <c r="DC20" s="1367"/>
      <c r="DD20" s="1233"/>
      <c r="DE20" s="1233"/>
      <c r="DF20" s="1233"/>
      <c r="DG20" s="1233"/>
      <c r="DH20" s="1233"/>
    </row>
    <row r="21" spans="1:347" ht="15.75" x14ac:dyDescent="0.25">
      <c r="A21" s="967"/>
      <c r="B21" s="968"/>
      <c r="C21" s="1070"/>
      <c r="D21" s="1071"/>
      <c r="E21" s="1071"/>
      <c r="F21" s="1071"/>
      <c r="G21" s="1071"/>
      <c r="H21" s="1071"/>
      <c r="I21" s="1071"/>
      <c r="J21" s="1072"/>
      <c r="K21" s="1070"/>
      <c r="L21" s="1071"/>
      <c r="M21" s="1071"/>
      <c r="N21" s="1071"/>
      <c r="O21" s="1071"/>
      <c r="P21" s="1072"/>
      <c r="Q21" s="1182" t="s">
        <v>155</v>
      </c>
      <c r="R21" s="1117" t="s">
        <v>145</v>
      </c>
      <c r="S21" s="1349">
        <v>0.58333333333333337</v>
      </c>
      <c r="T21" s="1193">
        <v>0.90972222222222221</v>
      </c>
      <c r="U21" s="1338"/>
      <c r="V21" s="1338"/>
      <c r="W21" s="1341">
        <v>0.54166666666666663</v>
      </c>
      <c r="X21" s="1341">
        <v>0.83333333333333337</v>
      </c>
      <c r="Y21" s="1237">
        <v>0.6875</v>
      </c>
      <c r="Z21" s="1274">
        <v>0</v>
      </c>
      <c r="AA21" s="1363"/>
      <c r="AB21" s="1245"/>
      <c r="AC21" s="1245"/>
      <c r="AD21" s="1245"/>
      <c r="AE21" s="1233">
        <v>0.6875</v>
      </c>
      <c r="AF21" s="1355">
        <v>0</v>
      </c>
      <c r="AG21" s="1182" t="s">
        <v>155</v>
      </c>
      <c r="AH21" s="1117" t="s">
        <v>145</v>
      </c>
      <c r="AI21" s="1442"/>
      <c r="AJ21" s="1442"/>
      <c r="AK21" s="1462">
        <v>0.45833333333333331</v>
      </c>
      <c r="AL21" s="1462">
        <v>0.75</v>
      </c>
      <c r="AM21" s="1237">
        <v>0.6875</v>
      </c>
      <c r="AN21" s="1237">
        <v>0</v>
      </c>
      <c r="AO21" s="1237">
        <v>0.64583333333333337</v>
      </c>
      <c r="AP21" s="1237">
        <v>0.96527777777777779</v>
      </c>
      <c r="AQ21" s="1509"/>
      <c r="AR21" s="1509"/>
      <c r="AS21" s="1509"/>
      <c r="AT21" s="1509"/>
      <c r="AU21" s="1509"/>
      <c r="AV21" s="1509"/>
      <c r="AW21" s="1182" t="s">
        <v>155</v>
      </c>
      <c r="AX21" s="1117" t="s">
        <v>145</v>
      </c>
      <c r="AY21" s="1442"/>
      <c r="AZ21" s="1442"/>
      <c r="BA21" s="1462">
        <v>0.45833333333333331</v>
      </c>
      <c r="BB21" s="1462">
        <v>0.75</v>
      </c>
      <c r="BC21" s="1237">
        <v>0.6875</v>
      </c>
      <c r="BD21" s="1237">
        <v>0</v>
      </c>
      <c r="BE21" s="1237">
        <v>0.64583333333333337</v>
      </c>
      <c r="BF21" s="1237">
        <v>0.96527777777777779</v>
      </c>
      <c r="BG21" s="1509"/>
      <c r="BH21" s="1509"/>
      <c r="BI21" s="1509"/>
      <c r="BJ21" s="1509"/>
      <c r="BK21" s="1509"/>
      <c r="BL21" s="1509"/>
      <c r="BM21" s="1182" t="s">
        <v>155</v>
      </c>
      <c r="BN21" s="1117" t="s">
        <v>145</v>
      </c>
      <c r="BO21" s="1453">
        <v>0.66666666666666663</v>
      </c>
      <c r="BP21" s="1232">
        <v>0.97916666666666663</v>
      </c>
      <c r="BQ21" s="1232">
        <v>0.64583333333333337</v>
      </c>
      <c r="BR21" s="1232">
        <v>0.96527777777777779</v>
      </c>
      <c r="BS21" s="1601">
        <v>0.70833333333333337</v>
      </c>
      <c r="BT21" s="1601">
        <v>0.97916666666666663</v>
      </c>
      <c r="BU21" s="1233">
        <v>0.66666666666666663</v>
      </c>
      <c r="BV21" s="1355">
        <v>0.97916666666666663</v>
      </c>
      <c r="BW21" s="1363"/>
      <c r="BX21" s="1245"/>
      <c r="BY21" s="1245"/>
      <c r="BZ21" s="1245"/>
      <c r="CA21" s="1245"/>
      <c r="CB21" s="1245"/>
      <c r="CC21" s="1182" t="s">
        <v>155</v>
      </c>
      <c r="CD21" s="1117" t="s">
        <v>145</v>
      </c>
      <c r="CE21" s="1735"/>
      <c r="CF21" s="1733"/>
      <c r="CG21" s="1520">
        <v>0.64583333333333337</v>
      </c>
      <c r="CH21" s="1232">
        <v>0.96527777777777779</v>
      </c>
      <c r="CI21" s="1233">
        <v>0.66666666666666663</v>
      </c>
      <c r="CJ21" s="1233">
        <v>0.97916666666666663</v>
      </c>
      <c r="CK21" s="1233">
        <v>0.66666666666666663</v>
      </c>
      <c r="CL21" s="1522">
        <v>0.97916666666666663</v>
      </c>
      <c r="CM21" s="1713"/>
      <c r="CN21" s="1706"/>
      <c r="CO21" s="1706"/>
      <c r="CP21" s="1706"/>
      <c r="CQ21" s="1706"/>
      <c r="CR21" s="1712"/>
      <c r="CS21" s="1182" t="s">
        <v>155</v>
      </c>
      <c r="CT21" s="1117" t="s">
        <v>145</v>
      </c>
      <c r="CU21" s="1453"/>
      <c r="CV21" s="1232"/>
      <c r="CW21" s="1232"/>
      <c r="CX21" s="1232"/>
      <c r="CY21" s="1233"/>
      <c r="CZ21" s="1233"/>
      <c r="DA21" s="1233"/>
      <c r="DB21" s="1355"/>
      <c r="DC21" s="1367"/>
      <c r="DD21" s="1233"/>
      <c r="DE21" s="1233"/>
      <c r="DF21" s="1233"/>
      <c r="DG21" s="1233"/>
      <c r="DH21" s="1233"/>
    </row>
    <row r="22" spans="1:347" ht="15.75" x14ac:dyDescent="0.25">
      <c r="A22" s="967"/>
      <c r="B22" s="968"/>
      <c r="C22" s="1070"/>
      <c r="D22" s="1071"/>
      <c r="E22" s="1071"/>
      <c r="F22" s="1071"/>
      <c r="G22" s="1071"/>
      <c r="H22" s="1071"/>
      <c r="I22" s="1071"/>
      <c r="J22" s="1072"/>
      <c r="K22" s="1070"/>
      <c r="L22" s="1071"/>
      <c r="M22" s="1071"/>
      <c r="N22" s="1071"/>
      <c r="O22" s="1071"/>
      <c r="P22" s="1072"/>
      <c r="Q22" s="1182" t="s">
        <v>156</v>
      </c>
      <c r="R22" s="1117" t="s">
        <v>145</v>
      </c>
      <c r="S22" s="1376"/>
      <c r="T22" s="1283"/>
      <c r="U22" s="1340">
        <v>0.54166666666666663</v>
      </c>
      <c r="V22" s="1340">
        <v>0.83333333333333337</v>
      </c>
      <c r="W22" s="1233">
        <v>0.58333333333333337</v>
      </c>
      <c r="X22" s="1233">
        <v>0.90972222222222221</v>
      </c>
      <c r="Y22" s="1237">
        <v>0.54166666666666663</v>
      </c>
      <c r="Z22" s="1274">
        <v>0.875</v>
      </c>
      <c r="AA22" s="1363"/>
      <c r="AB22" s="1245"/>
      <c r="AC22" s="1245"/>
      <c r="AD22" s="1245"/>
      <c r="AE22" s="1245"/>
      <c r="AF22" s="1353"/>
      <c r="AG22" s="1182" t="s">
        <v>156</v>
      </c>
      <c r="AH22" s="1117" t="s">
        <v>145</v>
      </c>
      <c r="AI22" s="1509"/>
      <c r="AJ22" s="1509"/>
      <c r="AK22" s="1462">
        <v>0.45833333333333331</v>
      </c>
      <c r="AL22" s="1462">
        <v>0.79166666666666663</v>
      </c>
      <c r="AM22" s="1237">
        <v>0.64583333333333337</v>
      </c>
      <c r="AN22" s="1237">
        <v>0.96527777777777779</v>
      </c>
      <c r="AO22" s="1237">
        <v>0.64583333333333337</v>
      </c>
      <c r="AP22" s="1237">
        <v>0.96527777777777779</v>
      </c>
      <c r="AQ22" s="1509"/>
      <c r="AR22" s="1509"/>
      <c r="AS22" s="1442"/>
      <c r="AT22" s="1442"/>
      <c r="AU22" s="1509"/>
      <c r="AV22" s="1509"/>
      <c r="AW22" s="1182" t="s">
        <v>156</v>
      </c>
      <c r="AX22" s="1117" t="s">
        <v>145</v>
      </c>
      <c r="AY22" s="1509"/>
      <c r="AZ22" s="1509"/>
      <c r="BA22" s="1462">
        <v>0.45833333333333331</v>
      </c>
      <c r="BB22" s="1462">
        <v>0.79166666666666663</v>
      </c>
      <c r="BC22" s="1237">
        <v>0.64583333333333337</v>
      </c>
      <c r="BD22" s="1237">
        <v>0.96527777777777779</v>
      </c>
      <c r="BE22" s="1237">
        <v>0.64583333333333337</v>
      </c>
      <c r="BF22" s="1237">
        <v>0.96527777777777779</v>
      </c>
      <c r="BG22" s="1509"/>
      <c r="BH22" s="1509"/>
      <c r="BI22" s="1442"/>
      <c r="BJ22" s="1442"/>
      <c r="BK22" s="1509"/>
      <c r="BL22" s="1509"/>
      <c r="BM22" s="1182" t="s">
        <v>156</v>
      </c>
      <c r="BN22" s="1117" t="s">
        <v>145</v>
      </c>
      <c r="BO22" s="1453">
        <v>0.66666666666666663</v>
      </c>
      <c r="BP22" s="1232">
        <v>0.97916666666666663</v>
      </c>
      <c r="BQ22" s="1232">
        <v>0.66666666666666663</v>
      </c>
      <c r="BR22" s="1232">
        <v>0.97916666666666663</v>
      </c>
      <c r="BS22" s="1601">
        <v>0.72916666666666663</v>
      </c>
      <c r="BT22" s="1601">
        <v>0</v>
      </c>
      <c r="BU22" s="1233">
        <v>0.6875</v>
      </c>
      <c r="BV22" s="1355">
        <v>0</v>
      </c>
      <c r="BW22" s="1363"/>
      <c r="BX22" s="1245"/>
      <c r="BY22" s="1245"/>
      <c r="BZ22" s="1245"/>
      <c r="CA22" s="1245"/>
      <c r="CB22" s="1245"/>
      <c r="CC22" s="1182" t="s">
        <v>156</v>
      </c>
      <c r="CD22" s="1117" t="s">
        <v>145</v>
      </c>
      <c r="CE22" s="1735"/>
      <c r="CF22" s="1733"/>
      <c r="CG22" s="1232">
        <v>0.66666666666666663</v>
      </c>
      <c r="CH22" s="1232">
        <v>0.97916666666666663</v>
      </c>
      <c r="CI22" s="1233">
        <v>0.66666666666666663</v>
      </c>
      <c r="CJ22" s="1233">
        <v>0</v>
      </c>
      <c r="CK22" s="1233">
        <v>0.6875</v>
      </c>
      <c r="CL22" s="1522">
        <v>0</v>
      </c>
      <c r="CM22" s="1367">
        <v>0.64583333333333337</v>
      </c>
      <c r="CN22" s="1233">
        <v>0.96527777777777779</v>
      </c>
      <c r="CO22" s="1706"/>
      <c r="CP22" s="1706"/>
      <c r="CQ22" s="1706"/>
      <c r="CR22" s="1712"/>
      <c r="CS22" s="1182" t="s">
        <v>156</v>
      </c>
      <c r="CT22" s="1117" t="s">
        <v>145</v>
      </c>
      <c r="CU22" s="1453"/>
      <c r="CV22" s="1232"/>
      <c r="CW22" s="1232"/>
      <c r="CX22" s="1232"/>
      <c r="CY22" s="1233"/>
      <c r="CZ22" s="1233"/>
      <c r="DA22" s="1233"/>
      <c r="DB22" s="1355"/>
      <c r="DC22" s="1367"/>
      <c r="DD22" s="1233"/>
      <c r="DE22" s="1233"/>
      <c r="DF22" s="1233"/>
      <c r="DG22" s="1233"/>
      <c r="DH22" s="1233"/>
    </row>
    <row r="23" spans="1:347" ht="15.75" x14ac:dyDescent="0.25">
      <c r="A23" s="967"/>
      <c r="B23" s="968"/>
      <c r="C23" s="1070"/>
      <c r="D23" s="1071"/>
      <c r="E23" s="1071"/>
      <c r="F23" s="1071"/>
      <c r="G23" s="1071"/>
      <c r="H23" s="1071"/>
      <c r="I23" s="1071"/>
      <c r="J23" s="1072"/>
      <c r="K23" s="1070"/>
      <c r="L23" s="1071"/>
      <c r="M23" s="1071"/>
      <c r="N23" s="1071"/>
      <c r="O23" s="1071"/>
      <c r="P23" s="1072"/>
      <c r="Q23" s="1182" t="s">
        <v>157</v>
      </c>
      <c r="R23" s="1117" t="s">
        <v>145</v>
      </c>
      <c r="S23" s="1376"/>
      <c r="T23" s="1283"/>
      <c r="U23" s="1232">
        <v>0.66666666666666663</v>
      </c>
      <c r="V23" s="1232">
        <v>0.97916666666666663</v>
      </c>
      <c r="W23" s="1245"/>
      <c r="X23" s="1245"/>
      <c r="Y23" s="1237">
        <v>0.54166666666666663</v>
      </c>
      <c r="Z23" s="1274">
        <v>0.83333333333333337</v>
      </c>
      <c r="AA23" s="1363"/>
      <c r="AB23" s="1245"/>
      <c r="AC23" s="1245"/>
      <c r="AD23" s="1245"/>
      <c r="AE23" s="1233">
        <v>0.6875</v>
      </c>
      <c r="AF23" s="1355">
        <v>0</v>
      </c>
      <c r="AG23" s="1182" t="s">
        <v>157</v>
      </c>
      <c r="AH23" s="1117" t="s">
        <v>145</v>
      </c>
      <c r="AI23" s="1442"/>
      <c r="AJ23" s="1442"/>
      <c r="AK23" s="1462">
        <v>0.45833333333333331</v>
      </c>
      <c r="AL23" s="1462">
        <v>0.75</v>
      </c>
      <c r="AM23" s="1237">
        <v>0.54166666666666663</v>
      </c>
      <c r="AN23" s="1237">
        <v>0.875</v>
      </c>
      <c r="AO23" s="1237">
        <v>0.66666666666666663</v>
      </c>
      <c r="AP23" s="1237">
        <v>0.97916666666666663</v>
      </c>
      <c r="AQ23" s="1442"/>
      <c r="AR23" s="1442"/>
      <c r="AS23" s="1442"/>
      <c r="AT23" s="1442"/>
      <c r="AU23" s="1509"/>
      <c r="AV23" s="1509"/>
      <c r="AW23" s="1182" t="s">
        <v>157</v>
      </c>
      <c r="AX23" s="1117" t="s">
        <v>145</v>
      </c>
      <c r="AY23" s="1442"/>
      <c r="AZ23" s="1442"/>
      <c r="BA23" s="1462">
        <v>0.45833333333333331</v>
      </c>
      <c r="BB23" s="1462">
        <v>0.75</v>
      </c>
      <c r="BC23" s="1596">
        <v>0.54166666666666663</v>
      </c>
      <c r="BD23" s="1596">
        <v>0.875</v>
      </c>
      <c r="BE23" s="1596">
        <v>0.66666666666666663</v>
      </c>
      <c r="BF23" s="1596">
        <v>0.97916666666666663</v>
      </c>
      <c r="BG23" s="1442"/>
      <c r="BH23" s="1442"/>
      <c r="BI23" s="1442"/>
      <c r="BJ23" s="1442"/>
      <c r="BK23" s="1442"/>
      <c r="BL23" s="1442"/>
      <c r="BM23" s="1182" t="s">
        <v>157</v>
      </c>
      <c r="BN23" s="1117" t="s">
        <v>145</v>
      </c>
      <c r="BO23" s="1597">
        <v>0.6875</v>
      </c>
      <c r="BP23" s="1579">
        <v>0</v>
      </c>
      <c r="BQ23" s="1579">
        <v>0.6875</v>
      </c>
      <c r="BR23" s="1579">
        <v>0</v>
      </c>
      <c r="BS23" s="1602">
        <v>0.58333333333333337</v>
      </c>
      <c r="BT23" s="1602">
        <v>0.875</v>
      </c>
      <c r="BU23" s="1598">
        <v>0.66666666666666663</v>
      </c>
      <c r="BV23" s="1599">
        <v>0.97916666666666663</v>
      </c>
      <c r="BW23" s="1363"/>
      <c r="BX23" s="1245"/>
      <c r="BY23" s="1245"/>
      <c r="BZ23" s="1245"/>
      <c r="CA23" s="1245"/>
      <c r="CB23" s="1245"/>
      <c r="CC23" s="1182" t="s">
        <v>157</v>
      </c>
      <c r="CD23" s="1117" t="s">
        <v>145</v>
      </c>
      <c r="CE23" s="1736"/>
      <c r="CF23" s="1737"/>
      <c r="CG23" s="1579">
        <v>0.6875</v>
      </c>
      <c r="CH23" s="1579">
        <v>0</v>
      </c>
      <c r="CI23" s="1598">
        <v>0.58333333333333337</v>
      </c>
      <c r="CJ23" s="1598">
        <v>0.90972222222222221</v>
      </c>
      <c r="CK23" s="1598">
        <v>0.66666666666666663</v>
      </c>
      <c r="CL23" s="1644">
        <v>0.97916666666666663</v>
      </c>
      <c r="CM23" s="1713"/>
      <c r="CN23" s="1706"/>
      <c r="CO23" s="1706"/>
      <c r="CP23" s="1706"/>
      <c r="CQ23" s="1706"/>
      <c r="CR23" s="1712"/>
      <c r="CS23" s="1182" t="s">
        <v>157</v>
      </c>
      <c r="CT23" s="1117" t="s">
        <v>145</v>
      </c>
      <c r="CU23" s="1453"/>
      <c r="CV23" s="1232"/>
      <c r="CW23" s="1232"/>
      <c r="CX23" s="1232"/>
      <c r="CY23" s="1233"/>
      <c r="CZ23" s="1233"/>
      <c r="DA23" s="1233"/>
      <c r="DB23" s="1355"/>
      <c r="DC23" s="1367"/>
      <c r="DD23" s="1233"/>
      <c r="DE23" s="1233"/>
      <c r="DF23" s="1233"/>
      <c r="DG23" s="1233"/>
      <c r="DH23" s="1233"/>
    </row>
    <row r="24" spans="1:347" ht="16.5" thickBot="1" x14ac:dyDescent="0.3">
      <c r="A24" s="967"/>
      <c r="B24" s="968"/>
      <c r="C24" s="1070"/>
      <c r="D24" s="1071"/>
      <c r="E24" s="1071"/>
      <c r="F24" s="1071"/>
      <c r="G24" s="1071"/>
      <c r="H24" s="1071"/>
      <c r="I24" s="1071"/>
      <c r="J24" s="1072"/>
      <c r="K24" s="1070"/>
      <c r="L24" s="1071"/>
      <c r="M24" s="1071"/>
      <c r="N24" s="1071"/>
      <c r="O24" s="1071"/>
      <c r="P24" s="1072"/>
      <c r="Q24" s="1182"/>
      <c r="R24" s="1316"/>
      <c r="S24" s="1587"/>
      <c r="T24" s="1587"/>
      <c r="U24" s="1584"/>
      <c r="V24" s="1584"/>
      <c r="W24" s="1588"/>
      <c r="X24" s="1588"/>
      <c r="Y24" s="1589"/>
      <c r="Z24" s="1589"/>
      <c r="AA24" s="1588"/>
      <c r="AB24" s="1588"/>
      <c r="AC24" s="1588"/>
      <c r="AD24" s="1588"/>
      <c r="AE24" s="1590"/>
      <c r="AF24" s="1591"/>
      <c r="AG24" s="1182"/>
      <c r="AH24" s="1316"/>
      <c r="AI24" s="1592"/>
      <c r="AJ24" s="1592"/>
      <c r="AK24" s="1593"/>
      <c r="AL24" s="1593"/>
      <c r="AM24" s="1589"/>
      <c r="AN24" s="1589"/>
      <c r="AO24" s="1589"/>
      <c r="AP24" s="1589"/>
      <c r="AQ24" s="1592"/>
      <c r="AR24" s="1592"/>
      <c r="AS24" s="1592"/>
      <c r="AT24" s="1592"/>
      <c r="AU24" s="1594"/>
      <c r="AV24" s="1594"/>
      <c r="AW24" s="1182" t="s">
        <v>158</v>
      </c>
      <c r="AX24" s="1117" t="s">
        <v>145</v>
      </c>
      <c r="AY24" s="1592"/>
      <c r="AZ24" s="1592"/>
      <c r="BA24" s="1462">
        <v>0.45833333333333331</v>
      </c>
      <c r="BB24" s="1595">
        <v>0.79166666666666663</v>
      </c>
      <c r="BC24" s="953">
        <v>0.6875</v>
      </c>
      <c r="BD24" s="953">
        <v>0</v>
      </c>
      <c r="BE24" s="953">
        <v>0.625</v>
      </c>
      <c r="BF24" s="953">
        <v>0.94444444444444442</v>
      </c>
      <c r="BG24" s="1442"/>
      <c r="BH24" s="1442"/>
      <c r="BI24" s="1442"/>
      <c r="BJ24" s="1442"/>
      <c r="BK24" s="1442"/>
      <c r="BL24" s="1442"/>
      <c r="BM24" s="1182" t="s">
        <v>158</v>
      </c>
      <c r="BN24" s="1117" t="s">
        <v>145</v>
      </c>
      <c r="BO24" s="1033">
        <v>0.6875</v>
      </c>
      <c r="BP24" s="1033">
        <v>0</v>
      </c>
      <c r="BQ24" s="1033">
        <v>0.6875</v>
      </c>
      <c r="BR24" s="1033">
        <v>0</v>
      </c>
      <c r="BS24" s="1245"/>
      <c r="BT24" s="1245"/>
      <c r="BU24" s="1129">
        <v>0.6875</v>
      </c>
      <c r="BV24" s="1129">
        <v>0</v>
      </c>
      <c r="BW24" s="1363"/>
      <c r="BX24" s="1245"/>
      <c r="BY24" s="1245"/>
      <c r="BZ24" s="1245"/>
      <c r="CA24" s="1245"/>
      <c r="CB24" s="1245"/>
      <c r="CC24" s="1182" t="s">
        <v>158</v>
      </c>
      <c r="CD24" s="1117" t="s">
        <v>145</v>
      </c>
      <c r="CE24" s="1738"/>
      <c r="CF24" s="1739"/>
      <c r="CG24" s="1628">
        <v>0.6875</v>
      </c>
      <c r="CH24" s="1729">
        <v>0</v>
      </c>
      <c r="CI24" s="1629">
        <v>0.66666666666666663</v>
      </c>
      <c r="CJ24" s="1629">
        <v>0.97916666666666663</v>
      </c>
      <c r="CK24" s="1333">
        <v>0.6875</v>
      </c>
      <c r="CL24" s="1741">
        <v>0</v>
      </c>
      <c r="CM24" s="1714"/>
      <c r="CN24" s="1715"/>
      <c r="CO24" s="1333">
        <v>0.66666666666666663</v>
      </c>
      <c r="CP24" s="1333">
        <v>0.97916666666666663</v>
      </c>
      <c r="CQ24" s="1715"/>
      <c r="CR24" s="1716"/>
      <c r="CS24" s="1182"/>
      <c r="CT24" s="1316"/>
      <c r="CU24" s="1584"/>
      <c r="CV24" s="1584"/>
      <c r="CW24" s="1584"/>
      <c r="CX24" s="1584"/>
      <c r="CY24" s="1590"/>
      <c r="CZ24" s="1590"/>
      <c r="DA24" s="1590"/>
      <c r="DB24" s="1590"/>
      <c r="DC24" s="1590"/>
      <c r="DD24" s="1590"/>
      <c r="DE24" s="1590"/>
      <c r="DF24" s="1590"/>
      <c r="DG24" s="1590"/>
      <c r="DH24" s="1590"/>
    </row>
    <row r="25" spans="1:347" ht="16.5" thickBot="1" x14ac:dyDescent="0.3">
      <c r="A25" s="967"/>
      <c r="B25" s="968"/>
      <c r="C25" s="1070"/>
      <c r="D25" s="1071"/>
      <c r="E25" s="1071"/>
      <c r="F25" s="1071"/>
      <c r="G25" s="1071"/>
      <c r="H25" s="1071"/>
      <c r="I25" s="1071"/>
      <c r="J25" s="1072"/>
      <c r="K25" s="1070"/>
      <c r="L25" s="1071"/>
      <c r="M25" s="1071"/>
      <c r="N25" s="1071"/>
      <c r="O25" s="1071"/>
      <c r="P25" s="1072"/>
      <c r="Q25" s="1190" t="s">
        <v>159</v>
      </c>
      <c r="R25" s="1102" t="s">
        <v>145</v>
      </c>
      <c r="S25" s="1006">
        <v>0.45833333333333331</v>
      </c>
      <c r="T25" s="956">
        <v>0.70833333333333337</v>
      </c>
      <c r="U25" s="956">
        <v>0.45833333333333331</v>
      </c>
      <c r="V25" s="956">
        <v>0.70833333333333337</v>
      </c>
      <c r="W25" s="964"/>
      <c r="X25" s="964"/>
      <c r="Y25" s="964"/>
      <c r="Z25" s="965"/>
      <c r="AA25" s="1378">
        <v>0.45833333333333331</v>
      </c>
      <c r="AB25" s="1379">
        <v>0.70833333333333337</v>
      </c>
      <c r="AC25" s="1380"/>
      <c r="AD25" s="1380"/>
      <c r="AE25" s="1381"/>
      <c r="AF25" s="1382"/>
      <c r="AG25" s="1132" t="s">
        <v>159</v>
      </c>
      <c r="AH25" s="1126" t="s">
        <v>145</v>
      </c>
      <c r="AI25" s="1006">
        <v>0.45833333333333331</v>
      </c>
      <c r="AJ25" s="956">
        <v>0.70833333333333337</v>
      </c>
      <c r="AK25" s="956">
        <v>0.45833333333333331</v>
      </c>
      <c r="AL25" s="956">
        <v>0.70833333333333337</v>
      </c>
      <c r="AM25" s="964"/>
      <c r="AN25" s="964"/>
      <c r="AO25" s="964"/>
      <c r="AP25" s="965"/>
      <c r="AQ25" s="1440">
        <v>0.45833333333333331</v>
      </c>
      <c r="AR25" s="956">
        <v>0.70833333333333337</v>
      </c>
      <c r="AS25" s="964"/>
      <c r="AT25" s="964"/>
      <c r="AU25" s="1105"/>
      <c r="AV25" s="1441"/>
      <c r="AW25" s="1132" t="s">
        <v>159</v>
      </c>
      <c r="AX25" s="1126" t="s">
        <v>145</v>
      </c>
      <c r="AY25" s="1006">
        <v>0.45833333333333331</v>
      </c>
      <c r="AZ25" s="956">
        <v>0.70833333333333337</v>
      </c>
      <c r="BA25" s="956">
        <v>0.45833333333333331</v>
      </c>
      <c r="BB25" s="956">
        <v>0.70833333333333337</v>
      </c>
      <c r="BC25" s="964"/>
      <c r="BD25" s="964"/>
      <c r="BE25" s="964"/>
      <c r="BF25" s="965"/>
      <c r="BG25" s="1442"/>
      <c r="BH25" s="1442"/>
      <c r="BI25" s="964"/>
      <c r="BJ25" s="964"/>
      <c r="BK25" s="1440">
        <v>0.45833333333333331</v>
      </c>
      <c r="BL25" s="956">
        <v>0.70833333333333337</v>
      </c>
      <c r="BM25" s="1190" t="s">
        <v>159</v>
      </c>
      <c r="BN25" s="1102" t="s">
        <v>145</v>
      </c>
      <c r="BO25" s="1006">
        <v>0.45833333333333331</v>
      </c>
      <c r="BP25" s="956">
        <v>0.70833333333333337</v>
      </c>
      <c r="BQ25" s="956">
        <v>0.45833333333333331</v>
      </c>
      <c r="BR25" s="956">
        <v>0.70833333333333337</v>
      </c>
      <c r="BS25" s="964"/>
      <c r="BT25" s="964"/>
      <c r="BU25" s="964"/>
      <c r="BV25" s="964"/>
      <c r="BW25" s="956">
        <v>0.45833333333333331</v>
      </c>
      <c r="BX25" s="956">
        <v>0.70833333333333337</v>
      </c>
      <c r="BY25" s="964"/>
      <c r="BZ25" s="964"/>
      <c r="CA25" s="1105"/>
      <c r="CB25" s="1312"/>
      <c r="CC25" s="1190" t="s">
        <v>159</v>
      </c>
      <c r="CD25" s="1102" t="s">
        <v>145</v>
      </c>
      <c r="CE25" s="1006">
        <v>0.45833333333333331</v>
      </c>
      <c r="CF25" s="956">
        <v>0.70833333333333337</v>
      </c>
      <c r="CG25" s="956">
        <v>0.45833333333333331</v>
      </c>
      <c r="CH25" s="956">
        <v>0.70833333333333337</v>
      </c>
      <c r="CI25" s="964"/>
      <c r="CJ25" s="964"/>
      <c r="CK25" s="964"/>
      <c r="CL25" s="964"/>
      <c r="CM25" s="956">
        <v>0.45833333333333331</v>
      </c>
      <c r="CN25" s="956">
        <v>0.70833333333333337</v>
      </c>
      <c r="CO25" s="964"/>
      <c r="CP25" s="964"/>
      <c r="CQ25" s="1105"/>
      <c r="CR25" s="1312"/>
      <c r="CS25" s="1190" t="s">
        <v>159</v>
      </c>
      <c r="CT25" s="1102" t="s">
        <v>145</v>
      </c>
      <c r="CU25" s="1006">
        <v>0.45833333333333331</v>
      </c>
      <c r="CV25" s="956">
        <v>0.70833333333333337</v>
      </c>
      <c r="CW25" s="956">
        <v>0.45833333333333331</v>
      </c>
      <c r="CX25" s="956">
        <v>0.70833333333333337</v>
      </c>
      <c r="CY25" s="964"/>
      <c r="CZ25" s="964"/>
      <c r="DA25" s="964"/>
      <c r="DB25" s="965"/>
      <c r="DC25" s="1378">
        <v>0.45833333333333331</v>
      </c>
      <c r="DD25" s="1379">
        <v>0.70833333333333337</v>
      </c>
      <c r="DE25" s="1380"/>
      <c r="DF25" s="1380"/>
      <c r="DG25" s="1381"/>
      <c r="DH25" s="1382"/>
    </row>
    <row r="26" spans="1:347" ht="16.5" thickBot="1" x14ac:dyDescent="0.3">
      <c r="A26" s="969" t="s">
        <v>159</v>
      </c>
      <c r="B26" s="970" t="s">
        <v>145</v>
      </c>
      <c r="C26" s="1073">
        <v>0.45833333333333331</v>
      </c>
      <c r="D26" s="1074">
        <v>0.70833333333333337</v>
      </c>
      <c r="E26" s="1074">
        <v>0.45833333333333331</v>
      </c>
      <c r="F26" s="1074">
        <v>0.70833333333333337</v>
      </c>
      <c r="G26" s="1075"/>
      <c r="H26" s="1075"/>
      <c r="I26" s="1075"/>
      <c r="J26" s="1076"/>
      <c r="K26" s="1077">
        <v>0.45833333333333331</v>
      </c>
      <c r="L26" s="1074">
        <v>0.70833333333333337</v>
      </c>
      <c r="M26" s="1078"/>
      <c r="N26" s="1078"/>
      <c r="O26" s="1079"/>
      <c r="P26" s="1080"/>
      <c r="Q26" s="1191" t="s">
        <v>160</v>
      </c>
      <c r="R26" s="1103" t="s">
        <v>145</v>
      </c>
      <c r="S26" s="1287"/>
      <c r="T26" s="1288"/>
      <c r="U26" s="1289">
        <v>0.54166666666666663</v>
      </c>
      <c r="V26" s="1289">
        <v>0.79166666666666663</v>
      </c>
      <c r="W26" s="1290"/>
      <c r="X26" s="1290"/>
      <c r="Y26" s="1291"/>
      <c r="Z26" s="1387"/>
      <c r="AA26" s="1383"/>
      <c r="AB26" s="1384"/>
      <c r="AC26" s="1385">
        <v>0.54166666666666663</v>
      </c>
      <c r="AD26" s="1385">
        <v>0.79166666666666663</v>
      </c>
      <c r="AE26" s="1385">
        <v>0.54166666666666663</v>
      </c>
      <c r="AF26" s="1386">
        <v>0.79166666666666663</v>
      </c>
      <c r="AG26" s="1133" t="s">
        <v>160</v>
      </c>
      <c r="AH26" s="1127" t="s">
        <v>145</v>
      </c>
      <c r="AI26" s="1287"/>
      <c r="AJ26" s="1288"/>
      <c r="AK26" s="1289">
        <v>0.54166666666666663</v>
      </c>
      <c r="AL26" s="1289">
        <v>0.79166666666666663</v>
      </c>
      <c r="AM26" s="1290"/>
      <c r="AN26" s="1290"/>
      <c r="AO26" s="1291"/>
      <c r="AP26" s="1387"/>
      <c r="AQ26" s="1383"/>
      <c r="AR26" s="1384"/>
      <c r="AS26" s="1385">
        <v>0.54166666666666663</v>
      </c>
      <c r="AT26" s="1385">
        <v>0.79166666666666663</v>
      </c>
      <c r="AU26" s="1385">
        <v>0.54166666666666663</v>
      </c>
      <c r="AV26" s="1386">
        <v>0.79166666666666663</v>
      </c>
      <c r="AW26" s="1133" t="s">
        <v>160</v>
      </c>
      <c r="AX26" s="1127" t="s">
        <v>145</v>
      </c>
      <c r="AY26" s="1287"/>
      <c r="AZ26" s="1288"/>
      <c r="BA26" s="1289">
        <v>0.54166666666666663</v>
      </c>
      <c r="BB26" s="1289">
        <v>0.79166666666666663</v>
      </c>
      <c r="BC26" s="1290"/>
      <c r="BD26" s="1290"/>
      <c r="BE26" s="1291"/>
      <c r="BF26" s="1387"/>
      <c r="BG26" s="1383"/>
      <c r="BH26" s="1384"/>
      <c r="BI26" s="1384"/>
      <c r="BJ26" s="1384"/>
      <c r="BK26" s="1385">
        <v>0.54166666666666663</v>
      </c>
      <c r="BL26" s="1386">
        <v>0.79166666666666663</v>
      </c>
      <c r="BM26" s="1191" t="s">
        <v>160</v>
      </c>
      <c r="BN26" s="1103" t="s">
        <v>145</v>
      </c>
      <c r="BO26" s="1385">
        <v>0.54166666666666663</v>
      </c>
      <c r="BP26" s="1385">
        <v>0.79166666666666663</v>
      </c>
      <c r="BQ26" s="1289">
        <v>0.54166666666666663</v>
      </c>
      <c r="BR26" s="1289">
        <v>0.79166666666666663</v>
      </c>
      <c r="BS26" s="1290"/>
      <c r="BT26" s="1290"/>
      <c r="BU26" s="1291"/>
      <c r="BV26" s="1291"/>
      <c r="BW26" s="1290"/>
      <c r="BX26" s="1290"/>
      <c r="BY26" s="1289">
        <v>0.54166666666666663</v>
      </c>
      <c r="BZ26" s="1289">
        <v>0.79166666666666663</v>
      </c>
      <c r="CA26" s="1289">
        <v>0.54166666666666663</v>
      </c>
      <c r="CB26" s="1292">
        <v>0.79166666666666663</v>
      </c>
      <c r="CC26" s="1191" t="s">
        <v>160</v>
      </c>
      <c r="CD26" s="1103" t="s">
        <v>145</v>
      </c>
      <c r="CE26" s="1385">
        <v>0.54166666666666663</v>
      </c>
      <c r="CF26" s="1385">
        <v>0.79166666666666663</v>
      </c>
      <c r="CG26" s="1289">
        <v>0.54166666666666663</v>
      </c>
      <c r="CH26" s="1289">
        <v>0.79166666666666663</v>
      </c>
      <c r="CI26" s="1290"/>
      <c r="CJ26" s="1290"/>
      <c r="CK26" s="1291"/>
      <c r="CL26" s="1291"/>
      <c r="CM26" s="1290"/>
      <c r="CN26" s="1290"/>
      <c r="CO26" s="1289">
        <v>0.54166666666666663</v>
      </c>
      <c r="CP26" s="1289">
        <v>0.79166666666666663</v>
      </c>
      <c r="CQ26" s="1289">
        <v>0.54166666666666663</v>
      </c>
      <c r="CR26" s="1292">
        <v>0.79166666666666663</v>
      </c>
      <c r="CS26" s="1191" t="s">
        <v>160</v>
      </c>
      <c r="CT26" s="1103" t="s">
        <v>145</v>
      </c>
      <c r="CU26" s="1287"/>
      <c r="CV26" s="1288"/>
      <c r="CW26" s="1289">
        <v>0.54166666666666663</v>
      </c>
      <c r="CX26" s="1289">
        <v>0.79166666666666663</v>
      </c>
      <c r="CY26" s="1290"/>
      <c r="CZ26" s="1290"/>
      <c r="DA26" s="1291"/>
      <c r="DB26" s="1387"/>
      <c r="DC26" s="1383"/>
      <c r="DD26" s="1384"/>
      <c r="DE26" s="1385">
        <v>0.54166666666666663</v>
      </c>
      <c r="DF26" s="1385">
        <v>0.79166666666666663</v>
      </c>
      <c r="DG26" s="1385">
        <v>0.54166666666666663</v>
      </c>
      <c r="DH26" s="1386">
        <v>0.79166666666666663</v>
      </c>
    </row>
    <row r="27" spans="1:347" s="927" customFormat="1" x14ac:dyDescent="0.25">
      <c r="A27" s="935"/>
      <c r="B27" s="934"/>
      <c r="C27" s="935"/>
      <c r="D27" s="935"/>
      <c r="E27" s="971"/>
      <c r="F27" s="971"/>
      <c r="G27" s="971"/>
      <c r="H27" s="971"/>
      <c r="I27" s="971"/>
      <c r="J27" s="971"/>
      <c r="K27" s="935"/>
      <c r="L27" s="935"/>
      <c r="M27" s="935"/>
      <c r="N27" s="935"/>
      <c r="O27" s="935"/>
      <c r="P27" s="935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 s="935"/>
      <c r="AH27" s="934"/>
      <c r="AI27" s="935"/>
      <c r="AJ27" s="935"/>
      <c r="AK27" s="971"/>
      <c r="AL27" s="971"/>
      <c r="AM27" s="940"/>
      <c r="AN27" s="940"/>
      <c r="AO27" s="971"/>
      <c r="AP27" s="971"/>
      <c r="AQ27" s="935"/>
      <c r="AR27" s="935"/>
      <c r="AS27" s="935"/>
      <c r="AT27" s="935"/>
      <c r="AU27" s="935"/>
      <c r="AV27" s="935"/>
      <c r="AW27" s="971"/>
      <c r="AX27" s="934"/>
      <c r="AY27" s="971"/>
      <c r="AZ27" s="971"/>
      <c r="BA27" s="971"/>
      <c r="BB27" s="971"/>
      <c r="BC27" s="971"/>
      <c r="BD27" s="971"/>
      <c r="BE27" s="1081"/>
      <c r="BF27" s="1081"/>
      <c r="BG27" s="971"/>
      <c r="BH27" s="971"/>
      <c r="BI27" s="935"/>
      <c r="BJ27" s="935"/>
      <c r="BK27" s="935"/>
      <c r="BL27" s="934"/>
      <c r="BM27" s="935"/>
      <c r="BN27" s="934"/>
      <c r="BO27" s="1082"/>
      <c r="BP27" s="1082"/>
      <c r="BQ27" s="971"/>
      <c r="BR27" s="971"/>
      <c r="BS27" s="971"/>
      <c r="BT27" s="971"/>
      <c r="BU27" s="971"/>
      <c r="BV27" s="971"/>
      <c r="BW27" s="1082"/>
      <c r="BX27" s="1082"/>
      <c r="BY27" s="935"/>
      <c r="BZ27" s="935"/>
      <c r="CA27" s="935"/>
      <c r="CB27" s="935"/>
      <c r="CC27" s="935"/>
      <c r="CD27" s="934"/>
      <c r="CE27" s="935"/>
      <c r="CF27" s="935"/>
      <c r="CG27" s="971"/>
      <c r="CH27" s="971"/>
      <c r="CI27" s="971"/>
      <c r="CJ27" s="971"/>
      <c r="CK27" s="971"/>
      <c r="CL27" s="971"/>
      <c r="CM27" s="935"/>
      <c r="CN27" s="935"/>
      <c r="CO27" s="935"/>
      <c r="CP27" s="935"/>
      <c r="CQ27" s="935"/>
      <c r="CR27" s="935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</row>
    <row r="28" spans="1:347" s="927" customFormat="1" x14ac:dyDescent="0.25">
      <c r="A28" s="939"/>
      <c r="B28" s="934"/>
      <c r="C28" s="935"/>
      <c r="D28" s="935"/>
      <c r="E28" s="971"/>
      <c r="F28" s="971"/>
      <c r="G28" s="971"/>
      <c r="H28" s="971"/>
      <c r="I28" s="971"/>
      <c r="J28" s="971"/>
      <c r="K28" s="935"/>
      <c r="L28" s="935"/>
      <c r="M28" s="935"/>
      <c r="N28" s="935"/>
      <c r="O28" s="935"/>
      <c r="P28" s="935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 s="971"/>
      <c r="AH28" s="934"/>
      <c r="AI28" s="971"/>
      <c r="AJ28" s="971"/>
      <c r="AK28" s="971"/>
      <c r="AL28" s="971"/>
      <c r="AM28" s="940"/>
      <c r="AN28" s="940"/>
      <c r="AO28" s="971"/>
      <c r="AP28" s="971"/>
      <c r="AQ28" s="971"/>
      <c r="AR28" s="971"/>
      <c r="AS28" s="940"/>
      <c r="AT28" s="940"/>
      <c r="AU28" s="940"/>
      <c r="AV28" s="940"/>
      <c r="AW28" s="971"/>
      <c r="AX28" s="934"/>
      <c r="AY28" s="971"/>
      <c r="AZ28" s="971"/>
      <c r="BA28" s="971"/>
      <c r="BB28" s="971"/>
      <c r="BC28" s="971"/>
      <c r="BD28" s="971"/>
      <c r="BE28" s="1081"/>
      <c r="BF28" s="1081"/>
      <c r="BG28" s="971"/>
      <c r="BH28" s="971"/>
      <c r="BI28" s="935"/>
      <c r="BJ28" s="935"/>
      <c r="BK28" s="935"/>
      <c r="BL28" s="934"/>
      <c r="BM28" s="971"/>
      <c r="BN28" s="934"/>
      <c r="BO28" s="971"/>
      <c r="BP28" s="971"/>
      <c r="BQ28" s="971"/>
      <c r="BR28" s="971"/>
      <c r="BS28" s="971"/>
      <c r="BT28" s="971"/>
      <c r="BU28" s="971"/>
      <c r="BV28" s="971"/>
      <c r="BW28" s="935"/>
      <c r="BX28" s="935"/>
      <c r="BY28" s="935"/>
      <c r="BZ28" s="935"/>
      <c r="CA28" s="939"/>
      <c r="CB28" s="939"/>
      <c r="CC28" s="939"/>
      <c r="CD28" s="971"/>
      <c r="CE28" s="971"/>
      <c r="CF28" s="971"/>
      <c r="CG28" s="971"/>
      <c r="CH28" s="971"/>
      <c r="CI28" s="971"/>
      <c r="CJ28" s="971"/>
      <c r="CK28" s="971"/>
      <c r="CL28" s="971"/>
      <c r="CM28" s="935"/>
      <c r="CN28" s="935"/>
      <c r="CO28" s="935"/>
      <c r="CP28" s="935"/>
      <c r="CQ28" s="935"/>
      <c r="CR28" s="935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</row>
    <row r="29" spans="1:347" s="927" customFormat="1" ht="16.5" thickBot="1" x14ac:dyDescent="0.3">
      <c r="A29" s="939"/>
      <c r="B29" s="972"/>
      <c r="C29" s="1083"/>
      <c r="D29" s="1083"/>
      <c r="E29" s="1084"/>
      <c r="F29" s="1084" t="s">
        <v>161</v>
      </c>
      <c r="G29" s="1084"/>
      <c r="H29" s="1084"/>
      <c r="I29" s="1084"/>
      <c r="J29" s="1084"/>
      <c r="K29" s="935"/>
      <c r="L29" s="935"/>
      <c r="M29" s="935"/>
      <c r="N29" s="935"/>
      <c r="O29" s="935"/>
      <c r="P29" s="935"/>
      <c r="Q29"/>
      <c r="R29"/>
      <c r="S29"/>
      <c r="T29" s="946" t="s">
        <v>90</v>
      </c>
      <c r="U29" s="946" t="s">
        <v>90</v>
      </c>
      <c r="V29" s="946" t="s">
        <v>91</v>
      </c>
      <c r="W29" s="946" t="s">
        <v>91</v>
      </c>
      <c r="X29" s="946" t="s">
        <v>92</v>
      </c>
      <c r="Y29" s="946" t="s">
        <v>92</v>
      </c>
      <c r="Z29" s="946" t="s">
        <v>93</v>
      </c>
      <c r="AA29" s="946" t="s">
        <v>93</v>
      </c>
      <c r="AB29" s="946" t="s">
        <v>94</v>
      </c>
      <c r="AC29" s="946" t="s">
        <v>94</v>
      </c>
      <c r="AD29" s="946" t="s">
        <v>95</v>
      </c>
      <c r="AE29" s="946" t="s">
        <v>95</v>
      </c>
      <c r="AF29"/>
      <c r="AG29" s="936"/>
      <c r="AH29" s="934"/>
      <c r="AI29" s="936"/>
      <c r="AJ29"/>
      <c r="AK29"/>
      <c r="AL29"/>
      <c r="AM29"/>
      <c r="AN29"/>
      <c r="AO29"/>
      <c r="AP29"/>
      <c r="AQ29" s="971"/>
      <c r="AR29" s="971"/>
      <c r="AS29" s="940"/>
      <c r="AT29" s="940"/>
      <c r="AU29" s="940"/>
      <c r="AV29" s="940"/>
      <c r="AW29" s="971"/>
      <c r="AX29" s="934"/>
      <c r="AY29" s="971"/>
      <c r="AZ29" s="1081"/>
      <c r="BA29" s="1081"/>
      <c r="BB29" s="1081"/>
      <c r="BC29" s="1081"/>
      <c r="BD29" s="1081"/>
      <c r="BE29" s="1081"/>
      <c r="BF29" s="1085"/>
      <c r="BG29" s="971"/>
      <c r="BH29" s="971"/>
      <c r="BI29" s="940"/>
      <c r="BJ29" s="940"/>
      <c r="BK29" s="940"/>
      <c r="BL29" s="934"/>
      <c r="BM29" s="935"/>
      <c r="BN29" s="939"/>
      <c r="BO29" s="1299"/>
      <c r="BP29" s="1299"/>
      <c r="BQ29" s="1299"/>
      <c r="BR29" s="1299"/>
      <c r="BS29" s="1084"/>
      <c r="BT29" s="1084" t="s">
        <v>162</v>
      </c>
      <c r="BU29" s="1084"/>
      <c r="BV29" s="1084"/>
      <c r="BW29" s="1083"/>
      <c r="BX29" s="1083"/>
      <c r="BY29" s="1083"/>
      <c r="BZ29" s="935"/>
      <c r="CA29" s="939"/>
      <c r="CB29" s="939"/>
      <c r="CC29" s="1299"/>
      <c r="CD29" s="972"/>
      <c r="CE29" s="1083"/>
      <c r="CF29" s="1083"/>
      <c r="CG29" s="1084" t="s">
        <v>163</v>
      </c>
      <c r="CH29" s="1084"/>
      <c r="CI29" s="1084"/>
      <c r="CJ29" s="1084"/>
      <c r="CK29" s="1084"/>
      <c r="CL29" s="1084"/>
      <c r="CM29" s="935"/>
      <c r="CN29" s="935"/>
      <c r="CO29" s="935"/>
      <c r="CP29" s="935"/>
      <c r="CQ29" s="935"/>
      <c r="CR29" s="935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</row>
    <row r="30" spans="1:347" s="927" customFormat="1" ht="15.75" thickBot="1" x14ac:dyDescent="0.3">
      <c r="A30" s="971"/>
      <c r="B30" s="934"/>
      <c r="C30" s="971"/>
      <c r="D30" s="971"/>
      <c r="E30" s="971"/>
      <c r="F30" s="971"/>
      <c r="G30" s="940"/>
      <c r="H30" s="940"/>
      <c r="I30" s="971"/>
      <c r="J30" s="971"/>
      <c r="K30" s="971"/>
      <c r="L30" s="971"/>
      <c r="M30" s="940"/>
      <c r="N30" s="940"/>
      <c r="O30" s="940"/>
      <c r="P30" s="94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 s="935"/>
      <c r="AH30" s="934"/>
      <c r="AI30" s="935"/>
      <c r="AJ30" s="936"/>
      <c r="AK30"/>
      <c r="AL30"/>
      <c r="AM30"/>
      <c r="AN30"/>
      <c r="AO30"/>
      <c r="AP30"/>
      <c r="AQ30" s="935"/>
      <c r="AR30" s="1082"/>
      <c r="AS30" s="935"/>
      <c r="AT30" s="935"/>
      <c r="AU30" s="935"/>
      <c r="AV30" s="935"/>
      <c r="AW30" s="973" t="s">
        <v>57</v>
      </c>
      <c r="AX30" s="934"/>
      <c r="AY30" s="936"/>
      <c r="AZ30" s="936"/>
      <c r="BA30" s="936"/>
      <c r="BB30" s="936"/>
      <c r="BC30" s="1081"/>
      <c r="BD30" s="1081"/>
      <c r="BE30" s="936"/>
      <c r="BF30" s="936"/>
      <c r="BG30" s="936"/>
      <c r="BH30" s="936"/>
      <c r="BI30" s="937"/>
      <c r="BJ30" s="937"/>
      <c r="BK30" s="937"/>
      <c r="BL30" s="934"/>
      <c r="BM30" s="971"/>
      <c r="BN30" s="934"/>
      <c r="BO30" s="971"/>
      <c r="BP30" s="971"/>
      <c r="BQ30" s="971"/>
      <c r="BR30" s="971"/>
      <c r="BS30" s="971"/>
      <c r="BT30" s="971"/>
      <c r="BU30" s="971"/>
      <c r="BV30" s="971"/>
      <c r="BW30" s="971"/>
      <c r="BX30" s="971"/>
      <c r="BY30" s="971"/>
      <c r="BZ30" s="971"/>
      <c r="CA30" s="971"/>
      <c r="CB30" s="971"/>
      <c r="CC30" s="971"/>
      <c r="CD30" s="934"/>
      <c r="CE30" s="971"/>
      <c r="CF30" s="971"/>
      <c r="CG30" s="971"/>
      <c r="CH30" s="971"/>
      <c r="CI30" s="940"/>
      <c r="CJ30" s="940"/>
      <c r="CK30" s="971"/>
      <c r="CL30" s="971"/>
      <c r="CM30" s="971"/>
      <c r="CN30" s="971"/>
      <c r="CO30" s="940"/>
      <c r="CP30" s="940"/>
      <c r="CQ30" s="940"/>
      <c r="CR30" s="94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</row>
    <row r="31" spans="1:347" s="927" customFormat="1" x14ac:dyDescent="0.25">
      <c r="A31" s="973" t="s">
        <v>57</v>
      </c>
      <c r="B31" s="934"/>
      <c r="C31" s="936"/>
      <c r="D31" s="936"/>
      <c r="E31" s="937"/>
      <c r="F31" s="937"/>
      <c r="G31" s="936"/>
      <c r="H31" s="936"/>
      <c r="I31" s="936"/>
      <c r="J31" s="936"/>
      <c r="K31" s="936"/>
      <c r="L31" s="936"/>
      <c r="M31" s="937"/>
      <c r="N31" s="937"/>
      <c r="O31" s="937"/>
      <c r="P31" s="937"/>
      <c r="Q31" s="973" t="s">
        <v>57</v>
      </c>
      <c r="R31"/>
      <c r="S31"/>
      <c r="T31"/>
      <c r="U31" s="1115"/>
      <c r="V31" s="1115"/>
      <c r="W31"/>
      <c r="X31"/>
      <c r="Y31"/>
      <c r="Z31"/>
      <c r="AA31"/>
      <c r="AB31"/>
      <c r="AC31"/>
      <c r="AD31"/>
      <c r="AE31"/>
      <c r="AF31"/>
      <c r="AG31" s="973" t="s">
        <v>57</v>
      </c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 s="974" t="s">
        <v>164</v>
      </c>
      <c r="AX31" s="934"/>
      <c r="AY31" s="936"/>
      <c r="AZ31" s="936"/>
      <c r="BA31" s="936"/>
      <c r="BB31" s="936"/>
      <c r="BC31" s="1081"/>
      <c r="BD31" s="1081"/>
      <c r="BE31" s="936"/>
      <c r="BF31" s="936"/>
      <c r="BG31" s="936"/>
      <c r="BH31" s="935"/>
      <c r="BI31" s="935"/>
      <c r="BJ31" s="935"/>
      <c r="BK31" s="935"/>
      <c r="BL31" s="935"/>
      <c r="BM31" s="973" t="s">
        <v>57</v>
      </c>
      <c r="BN31" s="934"/>
      <c r="BO31" s="937"/>
      <c r="BP31" s="937"/>
      <c r="BQ31" s="937"/>
      <c r="BR31" s="937"/>
      <c r="BS31" s="971"/>
      <c r="BT31" s="971"/>
      <c r="BU31" s="971"/>
      <c r="BV31" s="971"/>
      <c r="BW31" s="936"/>
      <c r="BX31" s="936"/>
      <c r="BY31" s="937"/>
      <c r="BZ31" s="937"/>
      <c r="CA31" s="937"/>
      <c r="CB31" s="937"/>
      <c r="CC31" s="973" t="s">
        <v>57</v>
      </c>
      <c r="CD31" s="934"/>
      <c r="CE31" s="1314"/>
      <c r="CF31" s="1314"/>
      <c r="CG31" s="1315" t="s">
        <v>165</v>
      </c>
      <c r="CH31" s="1315"/>
      <c r="CI31" s="1314"/>
      <c r="CJ31" s="936"/>
      <c r="CK31" s="1314"/>
      <c r="CL31" s="1314" t="s">
        <v>166</v>
      </c>
      <c r="CM31" s="1314"/>
      <c r="CN31" s="1314"/>
      <c r="CO31" s="937"/>
      <c r="CP31" s="937"/>
      <c r="CQ31" s="937"/>
      <c r="CR31" s="937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</row>
    <row r="32" spans="1:347" s="927" customFormat="1" ht="15.75" x14ac:dyDescent="0.25">
      <c r="A32" s="974" t="s">
        <v>164</v>
      </c>
      <c r="B32" s="934"/>
      <c r="C32" s="935"/>
      <c r="D32" s="935"/>
      <c r="E32" s="935"/>
      <c r="F32" s="935"/>
      <c r="G32" s="935"/>
      <c r="H32" s="935"/>
      <c r="I32" s="935"/>
      <c r="J32" s="935"/>
      <c r="K32" s="935"/>
      <c r="L32" s="935"/>
      <c r="M32" s="935"/>
      <c r="N32" s="935"/>
      <c r="O32" s="935"/>
      <c r="P32" s="935"/>
      <c r="Q32" s="974" t="s">
        <v>164</v>
      </c>
      <c r="R32"/>
      <c r="S32"/>
      <c r="T32"/>
      <c r="U32" s="1112">
        <v>0.47916666666666669</v>
      </c>
      <c r="V32" s="1113">
        <v>0.8125</v>
      </c>
      <c r="W32"/>
      <c r="X32"/>
      <c r="Y32"/>
      <c r="Z32"/>
      <c r="AA32"/>
      <c r="AB32"/>
      <c r="AC32"/>
      <c r="AD32"/>
      <c r="AE32"/>
      <c r="AF32"/>
      <c r="AG32" s="974" t="s">
        <v>164</v>
      </c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 s="975" t="s">
        <v>132</v>
      </c>
      <c r="AX32"/>
      <c r="AY32" s="936"/>
      <c r="AZ32" s="936"/>
      <c r="BA32" s="936"/>
      <c r="BB32" s="936"/>
      <c r="BC32" s="1081"/>
      <c r="BD32" s="1081"/>
      <c r="BE32" s="936"/>
      <c r="BF32" s="936"/>
      <c r="BG32" s="936"/>
      <c r="BH32"/>
      <c r="BI32"/>
      <c r="BJ32"/>
      <c r="BK32"/>
      <c r="BL32"/>
      <c r="BM32" s="974" t="s">
        <v>164</v>
      </c>
      <c r="BN32" s="934"/>
      <c r="BO32" s="935"/>
      <c r="BP32" s="935"/>
      <c r="BQ32" s="935"/>
      <c r="BR32" s="935"/>
      <c r="BS32" s="971"/>
      <c r="BT32" s="971"/>
      <c r="BU32" s="971"/>
      <c r="BV32" s="971"/>
      <c r="BW32" s="935"/>
      <c r="BX32" s="935"/>
      <c r="BY32" s="935"/>
      <c r="BZ32" s="935"/>
      <c r="CA32" s="935"/>
      <c r="CB32" s="935"/>
      <c r="CC32" s="974" t="s">
        <v>164</v>
      </c>
      <c r="CD32" s="934"/>
      <c r="CE32" s="935"/>
      <c r="CF32" s="935"/>
      <c r="CG32" s="935"/>
      <c r="CH32" s="935"/>
      <c r="CI32" s="935"/>
      <c r="CJ32" s="935"/>
      <c r="CK32" s="935"/>
      <c r="CL32" s="935"/>
      <c r="CM32" s="935"/>
      <c r="CN32" s="935"/>
      <c r="CO32" s="935"/>
      <c r="CP32" s="937"/>
      <c r="CQ32" s="935"/>
      <c r="CR32" s="935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</row>
    <row r="33" spans="1:86" ht="15.75" x14ac:dyDescent="0.25">
      <c r="A33" s="975" t="s">
        <v>132</v>
      </c>
      <c r="Q33" s="1121" t="s">
        <v>132</v>
      </c>
      <c r="U33" s="1110">
        <v>0.79166666666666663</v>
      </c>
      <c r="V33" s="1111">
        <v>8.3333333333333329E-2</v>
      </c>
      <c r="AG33" s="975" t="s">
        <v>132</v>
      </c>
      <c r="AW33" s="976" t="s">
        <v>167</v>
      </c>
      <c r="AY33" s="936"/>
      <c r="AZ33" s="936"/>
      <c r="BA33" s="936"/>
      <c r="BB33" s="936"/>
      <c r="BC33" s="936"/>
      <c r="BD33" s="936"/>
      <c r="BE33" s="936"/>
      <c r="BF33" s="936"/>
      <c r="BG33" s="936"/>
      <c r="BM33" s="975" t="s">
        <v>132</v>
      </c>
      <c r="BS33" s="971"/>
      <c r="BT33" s="971"/>
      <c r="BU33" s="971"/>
      <c r="BV33" s="971"/>
      <c r="CC33" s="975" t="s">
        <v>132</v>
      </c>
      <c r="CG33" s="45" t="s">
        <v>168</v>
      </c>
      <c r="CH33" s="45"/>
    </row>
    <row r="34" spans="1:86" ht="15.75" x14ac:dyDescent="0.25">
      <c r="A34" s="976" t="s">
        <v>167</v>
      </c>
      <c r="Q34" s="976" t="s">
        <v>167</v>
      </c>
      <c r="U34" s="1106" t="s">
        <v>132</v>
      </c>
      <c r="V34" s="1107" t="s">
        <v>132</v>
      </c>
      <c r="AG34" s="976" t="s">
        <v>167</v>
      </c>
      <c r="AW34" s="977" t="s">
        <v>169</v>
      </c>
      <c r="BA34" s="971"/>
      <c r="BG34" s="1089"/>
      <c r="BH34" s="1089"/>
      <c r="BI34" s="1089"/>
      <c r="BJ34" s="1089"/>
      <c r="BK34" s="1089"/>
      <c r="BL34" s="1089"/>
      <c r="BM34" s="976" t="s">
        <v>167</v>
      </c>
      <c r="BS34" s="971"/>
      <c r="BT34" s="971"/>
      <c r="BU34" s="971"/>
      <c r="BV34" s="971"/>
      <c r="CC34" s="976" t="s">
        <v>167</v>
      </c>
    </row>
    <row r="35" spans="1:86" ht="15.75" x14ac:dyDescent="0.25">
      <c r="A35" s="977" t="s">
        <v>169</v>
      </c>
      <c r="Q35" s="977" t="s">
        <v>169</v>
      </c>
      <c r="R35" s="1086"/>
      <c r="S35" s="1086"/>
      <c r="T35" s="1086"/>
      <c r="U35" s="1114" t="s">
        <v>135</v>
      </c>
      <c r="V35" s="1114" t="s">
        <v>138</v>
      </c>
      <c r="AG35" s="977" t="s">
        <v>169</v>
      </c>
      <c r="AH35" s="1087"/>
      <c r="AI35" s="1088"/>
      <c r="AJ35" s="1088"/>
      <c r="AK35" s="1088"/>
      <c r="AL35" s="1088"/>
      <c r="AM35" s="1088"/>
      <c r="AN35" s="1088"/>
      <c r="AO35" s="1088"/>
      <c r="AP35" s="1088"/>
      <c r="AQ35" s="1088"/>
      <c r="AR35" s="1088"/>
      <c r="AS35" s="1088"/>
      <c r="AT35" s="1088"/>
      <c r="AU35" s="1088"/>
      <c r="AV35" s="1088"/>
      <c r="AW35" s="978" t="s">
        <v>170</v>
      </c>
      <c r="AY35" s="1088"/>
      <c r="AZ35" s="1088"/>
      <c r="BA35" s="971"/>
      <c r="BM35" s="977" t="s">
        <v>169</v>
      </c>
      <c r="BS35" s="971"/>
      <c r="BT35" s="971"/>
      <c r="BU35" s="971"/>
      <c r="BV35" s="971"/>
      <c r="CC35" s="977" t="s">
        <v>169</v>
      </c>
    </row>
    <row r="36" spans="1:86" x14ac:dyDescent="0.25">
      <c r="A36" s="978" t="s">
        <v>170</v>
      </c>
      <c r="Q36" s="978" t="s">
        <v>170</v>
      </c>
      <c r="R36" s="941"/>
      <c r="S36" s="941"/>
      <c r="T36" s="941"/>
      <c r="U36" s="941"/>
      <c r="V36" s="941"/>
      <c r="AG36" s="978" t="s">
        <v>171</v>
      </c>
      <c r="AH36" s="1088"/>
      <c r="AI36" s="1088"/>
      <c r="AJ36" s="1088"/>
      <c r="AK36" s="1088"/>
      <c r="AL36" s="1088"/>
      <c r="AM36" s="1088"/>
      <c r="AN36" s="1088"/>
      <c r="AO36" s="1088"/>
      <c r="AP36" s="1088"/>
      <c r="AQ36" s="1088"/>
      <c r="AR36" s="1088"/>
      <c r="AS36" s="1088"/>
      <c r="AT36" s="1088"/>
      <c r="AU36" s="1088"/>
      <c r="AV36" s="1088"/>
      <c r="AW36" s="979" t="s">
        <v>172</v>
      </c>
      <c r="BA36" s="971"/>
      <c r="BM36" s="978" t="s">
        <v>170</v>
      </c>
      <c r="BS36" s="939"/>
      <c r="BT36" s="939"/>
      <c r="CC36" s="978" t="s">
        <v>170</v>
      </c>
    </row>
    <row r="37" spans="1:86" ht="15.75" thickBot="1" x14ac:dyDescent="0.3">
      <c r="A37" s="979" t="s">
        <v>172</v>
      </c>
      <c r="Q37" s="979" t="s">
        <v>172</v>
      </c>
      <c r="AG37" s="979" t="s">
        <v>172</v>
      </c>
      <c r="AH37" s="1088"/>
      <c r="AI37" s="1088"/>
      <c r="AJ37" s="1088"/>
      <c r="AK37" s="1088"/>
      <c r="AL37" s="1088"/>
      <c r="AM37" s="1088"/>
      <c r="AN37" s="1088"/>
      <c r="AO37" s="1088"/>
      <c r="AP37" s="1088"/>
      <c r="AQ37" s="1088"/>
      <c r="AR37" s="1088"/>
      <c r="AS37" s="1088"/>
      <c r="AT37" s="1088"/>
      <c r="AU37" s="1088"/>
      <c r="AV37" s="1088"/>
      <c r="AW37" s="980" t="s">
        <v>173</v>
      </c>
      <c r="BA37" s="971"/>
      <c r="BM37" s="979" t="s">
        <v>172</v>
      </c>
      <c r="BS37" s="939"/>
      <c r="BT37" s="939"/>
      <c r="CC37" s="979" t="s">
        <v>172</v>
      </c>
    </row>
    <row r="38" spans="1:86" ht="15.75" thickBot="1" x14ac:dyDescent="0.3">
      <c r="A38" s="980" t="s">
        <v>173</v>
      </c>
      <c r="Q38" s="980" t="s">
        <v>173</v>
      </c>
      <c r="AG38" s="980" t="s">
        <v>173</v>
      </c>
      <c r="AI38" s="1088"/>
      <c r="AJ38" s="1088"/>
      <c r="AK38" s="1088"/>
      <c r="AL38" s="1088" t="s">
        <v>174</v>
      </c>
      <c r="AM38" s="1088"/>
      <c r="AN38" s="1088"/>
      <c r="AO38" s="1088"/>
      <c r="AP38" s="1088"/>
      <c r="AQ38" s="1088"/>
      <c r="AR38" s="1088"/>
      <c r="AS38" s="1088"/>
      <c r="AT38" s="1088"/>
      <c r="AU38" s="1088"/>
      <c r="AV38" s="1088"/>
      <c r="BA38" s="971"/>
      <c r="BM38" s="980" t="s">
        <v>173</v>
      </c>
      <c r="BS38" s="939"/>
      <c r="BT38" s="939"/>
      <c r="CC38" s="980" t="s">
        <v>173</v>
      </c>
    </row>
    <row r="39" spans="1:86" x14ac:dyDescent="0.25">
      <c r="R39" s="941"/>
      <c r="S39" s="941"/>
      <c r="T39" s="941"/>
      <c r="U39" s="941"/>
      <c r="V39" s="941"/>
      <c r="BA39" s="971"/>
    </row>
    <row r="40" spans="1:86" x14ac:dyDescent="0.25">
      <c r="AG40" s="941"/>
      <c r="BA40" s="971"/>
    </row>
    <row r="41" spans="1:86" x14ac:dyDescent="0.25">
      <c r="BA41" s="971"/>
      <c r="CC41" s="941"/>
    </row>
    <row r="42" spans="1:86" x14ac:dyDescent="0.25">
      <c r="BA42" s="971"/>
      <c r="BM42" s="941"/>
    </row>
    <row r="43" spans="1:86" x14ac:dyDescent="0.25">
      <c r="BA43" s="971"/>
    </row>
    <row r="44" spans="1:86" x14ac:dyDescent="0.25">
      <c r="BA44" s="971"/>
    </row>
    <row r="45" spans="1:86" x14ac:dyDescent="0.25">
      <c r="BA45" s="971"/>
    </row>
    <row r="46" spans="1:86" x14ac:dyDescent="0.25">
      <c r="BA46" s="971"/>
    </row>
    <row r="47" spans="1:86" x14ac:dyDescent="0.25">
      <c r="BA47" s="971"/>
    </row>
    <row r="48" spans="1:86" x14ac:dyDescent="0.25">
      <c r="BA48" s="971"/>
    </row>
    <row r="49" spans="17:96" x14ac:dyDescent="0.25">
      <c r="BA49" s="971"/>
    </row>
    <row r="50" spans="17:96" x14ac:dyDescent="0.25">
      <c r="BA50" s="971"/>
    </row>
    <row r="51" spans="17:96" x14ac:dyDescent="0.25">
      <c r="BA51" s="971"/>
    </row>
    <row r="52" spans="17:96" x14ac:dyDescent="0.25">
      <c r="BA52" s="971"/>
      <c r="BG52" s="939"/>
      <c r="BH52" s="939"/>
      <c r="BI52" s="971"/>
      <c r="BJ52" s="971"/>
      <c r="BK52" s="971"/>
      <c r="BL52" s="971"/>
    </row>
    <row r="53" spans="17:96" x14ac:dyDescent="0.25">
      <c r="Q53" s="938"/>
      <c r="R53" s="934"/>
      <c r="S53" s="939"/>
      <c r="T53" s="939"/>
      <c r="U53" s="971"/>
      <c r="V53" s="971"/>
      <c r="W53" s="971"/>
      <c r="X53" s="971"/>
      <c r="Y53" s="939"/>
      <c r="Z53" s="939"/>
      <c r="AA53" s="971"/>
      <c r="AB53" s="971"/>
      <c r="AC53" s="971"/>
      <c r="AD53" s="971"/>
      <c r="AJ53" s="971"/>
      <c r="AK53" s="939"/>
      <c r="AL53" s="939"/>
      <c r="AM53" s="971"/>
      <c r="AN53" s="971"/>
      <c r="AO53" s="971"/>
      <c r="AP53" s="971"/>
      <c r="AQ53" s="971"/>
      <c r="AR53" s="971"/>
      <c r="AS53" s="971"/>
      <c r="AT53" s="971"/>
      <c r="AU53" s="971"/>
      <c r="AV53" s="981"/>
      <c r="BA53" s="971"/>
      <c r="CC53" s="938"/>
      <c r="CD53" s="934"/>
      <c r="CE53" s="939"/>
      <c r="CF53" s="939"/>
      <c r="CG53" s="981"/>
      <c r="CH53" s="981"/>
      <c r="CI53" s="971"/>
      <c r="CJ53" s="971"/>
      <c r="CK53" s="971"/>
      <c r="CL53" s="971"/>
      <c r="CM53" s="982"/>
      <c r="CN53" s="971"/>
      <c r="CO53" s="971"/>
      <c r="CP53" s="971"/>
      <c r="CQ53" s="971"/>
      <c r="CR53" s="971"/>
    </row>
    <row r="54" spans="17:96" x14ac:dyDescent="0.25">
      <c r="BA54" s="971"/>
    </row>
    <row r="55" spans="17:96" x14ac:dyDescent="0.25">
      <c r="BA55" s="971"/>
    </row>
    <row r="56" spans="17:96" x14ac:dyDescent="0.25">
      <c r="BA56" s="971"/>
    </row>
    <row r="57" spans="17:96" x14ac:dyDescent="0.25">
      <c r="BA57" s="971"/>
    </row>
    <row r="58" spans="17:96" x14ac:dyDescent="0.25">
      <c r="BA58" s="971"/>
    </row>
  </sheetData>
  <mergeCells count="133">
    <mergeCell ref="A1:P1"/>
    <mergeCell ref="AG1:AV1"/>
    <mergeCell ref="AW1:BL1"/>
    <mergeCell ref="BM1:CB1"/>
    <mergeCell ref="CC1:CR1"/>
    <mergeCell ref="B2:B3"/>
    <mergeCell ref="C2:E2"/>
    <mergeCell ref="G2:I2"/>
    <mergeCell ref="J2:P2"/>
    <mergeCell ref="C3:D3"/>
    <mergeCell ref="E3:F3"/>
    <mergeCell ref="G3:H3"/>
    <mergeCell ref="I3:J3"/>
    <mergeCell ref="AH2:AH3"/>
    <mergeCell ref="AI2:AK2"/>
    <mergeCell ref="AM2:AO2"/>
    <mergeCell ref="AP2:AV2"/>
    <mergeCell ref="BO2:BQ2"/>
    <mergeCell ref="BI3:BJ3"/>
    <mergeCell ref="BK3:BL3"/>
    <mergeCell ref="BO3:BP3"/>
    <mergeCell ref="BQ3:BR3"/>
    <mergeCell ref="AM3:AN3"/>
    <mergeCell ref="AO3:AP3"/>
    <mergeCell ref="AQ3:AR3"/>
    <mergeCell ref="AS3:AT3"/>
    <mergeCell ref="BA3:BB3"/>
    <mergeCell ref="BC3:BD3"/>
    <mergeCell ref="BE3:BF3"/>
    <mergeCell ref="BG3:BH3"/>
    <mergeCell ref="AX2:AX3"/>
    <mergeCell ref="AY2:BA2"/>
    <mergeCell ref="BC2:BE2"/>
    <mergeCell ref="BF2:BL2"/>
    <mergeCell ref="BN2:BN3"/>
    <mergeCell ref="BS2:BU2"/>
    <mergeCell ref="BV2:CB2"/>
    <mergeCell ref="CD2:CD3"/>
    <mergeCell ref="CE2:CG2"/>
    <mergeCell ref="CI2:CK2"/>
    <mergeCell ref="CL2:CR2"/>
    <mergeCell ref="BS3:BT3"/>
    <mergeCell ref="BU3:BV3"/>
    <mergeCell ref="BW3:BX3"/>
    <mergeCell ref="BY3:BZ3"/>
    <mergeCell ref="CO3:CP3"/>
    <mergeCell ref="CQ3:CR3"/>
    <mergeCell ref="CG3:CH3"/>
    <mergeCell ref="CI3:CJ3"/>
    <mergeCell ref="CK3:CL3"/>
    <mergeCell ref="CM3:CN3"/>
    <mergeCell ref="C4:D4"/>
    <mergeCell ref="E4:F4"/>
    <mergeCell ref="G4:H4"/>
    <mergeCell ref="I4:J4"/>
    <mergeCell ref="K4:L4"/>
    <mergeCell ref="M4:N4"/>
    <mergeCell ref="O4:P4"/>
    <mergeCell ref="CA3:CB3"/>
    <mergeCell ref="CE3:CF3"/>
    <mergeCell ref="AU3:AV3"/>
    <mergeCell ref="AY3:AZ3"/>
    <mergeCell ref="AI3:AJ3"/>
    <mergeCell ref="AK3:AL3"/>
    <mergeCell ref="AI4:AJ4"/>
    <mergeCell ref="AK4:AL4"/>
    <mergeCell ref="AM4:AN4"/>
    <mergeCell ref="AO4:AP4"/>
    <mergeCell ref="AQ4:AR4"/>
    <mergeCell ref="AS4:AT4"/>
    <mergeCell ref="K3:L3"/>
    <mergeCell ref="M3:N3"/>
    <mergeCell ref="O3:P3"/>
    <mergeCell ref="BI4:BJ4"/>
    <mergeCell ref="BK4:BL4"/>
    <mergeCell ref="CK4:CL4"/>
    <mergeCell ref="CM4:CN4"/>
    <mergeCell ref="CO4:CP4"/>
    <mergeCell ref="CQ4:CR4"/>
    <mergeCell ref="BW4:BX4"/>
    <mergeCell ref="BY4:BZ4"/>
    <mergeCell ref="CA4:CB4"/>
    <mergeCell ref="CE4:CF4"/>
    <mergeCell ref="CG4:CH4"/>
    <mergeCell ref="CI4:CJ4"/>
    <mergeCell ref="BO4:BP4"/>
    <mergeCell ref="BQ4:BR4"/>
    <mergeCell ref="BS4:BT4"/>
    <mergeCell ref="BU4:BV4"/>
    <mergeCell ref="AU4:AV4"/>
    <mergeCell ref="AY4:AZ4"/>
    <mergeCell ref="BA4:BB4"/>
    <mergeCell ref="BC4:BD4"/>
    <mergeCell ref="BE4:BF4"/>
    <mergeCell ref="BG4:BH4"/>
    <mergeCell ref="S4:T4"/>
    <mergeCell ref="U4:V4"/>
    <mergeCell ref="W4:X4"/>
    <mergeCell ref="Y4:Z4"/>
    <mergeCell ref="AA4:AB4"/>
    <mergeCell ref="AC4:AD4"/>
    <mergeCell ref="AE4:AF4"/>
    <mergeCell ref="Q1:AF1"/>
    <mergeCell ref="R2:R3"/>
    <mergeCell ref="S2:U2"/>
    <mergeCell ref="W2:Y2"/>
    <mergeCell ref="Z2:AF2"/>
    <mergeCell ref="S3:T3"/>
    <mergeCell ref="U3:V3"/>
    <mergeCell ref="W3:X3"/>
    <mergeCell ref="Y3:Z3"/>
    <mergeCell ref="AA3:AB3"/>
    <mergeCell ref="AC3:AD3"/>
    <mergeCell ref="AE3:AF3"/>
    <mergeCell ref="CU4:CV4"/>
    <mergeCell ref="CW4:CX4"/>
    <mergeCell ref="CY4:CZ4"/>
    <mergeCell ref="DA4:DB4"/>
    <mergeCell ref="DC4:DD4"/>
    <mergeCell ref="DE4:DF4"/>
    <mergeCell ref="DG4:DH4"/>
    <mergeCell ref="CS1:DH1"/>
    <mergeCell ref="CT2:CT3"/>
    <mergeCell ref="CU2:CW2"/>
    <mergeCell ref="CY2:DA2"/>
    <mergeCell ref="DB2:DH2"/>
    <mergeCell ref="CU3:CV3"/>
    <mergeCell ref="CW3:CX3"/>
    <mergeCell ref="CY3:CZ3"/>
    <mergeCell ref="DA3:DB3"/>
    <mergeCell ref="DC3:DD3"/>
    <mergeCell ref="DE3:DF3"/>
    <mergeCell ref="DG3:DH3"/>
  </mergeCells>
  <pageMargins left="0.7" right="0.7" top="0.75" bottom="0.75" header="0.3" footer="0.3"/>
  <pageSetup paperSize="9" scale="50" orientation="landscape" r:id="rId1"/>
  <headerFooter>
    <oddHeader>&amp;R&amp;"Calibri"&amp;10&amp;K000000 Público&amp;1#_x000D_</oddHeader>
    <oddFooter>&amp;L_x000D_&amp;1#&amp;"Calibri"&amp;10&amp;K000000 Público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BACBA-8C98-4820-883B-3F1947029D46}">
  <sheetPr>
    <pageSetUpPr fitToPage="1"/>
  </sheetPr>
  <dimension ref="A1:CS34"/>
  <sheetViews>
    <sheetView topLeftCell="BK1" zoomScale="85" zoomScaleNormal="85" workbookViewId="0">
      <selection activeCell="BS51" sqref="BS51"/>
    </sheetView>
  </sheetViews>
  <sheetFormatPr baseColWidth="10" defaultColWidth="11.42578125" defaultRowHeight="15" x14ac:dyDescent="0.25"/>
  <cols>
    <col min="1" max="1" width="25.5703125" bestFit="1" customWidth="1"/>
    <col min="2" max="2" width="6" bestFit="1" customWidth="1"/>
    <col min="17" max="17" width="20.42578125" customWidth="1"/>
    <col min="18" max="18" width="6" bestFit="1" customWidth="1"/>
    <col min="33" max="33" width="18.140625" customWidth="1"/>
    <col min="34" max="34" width="6" bestFit="1" customWidth="1"/>
    <col min="35" max="35" width="10" customWidth="1"/>
    <col min="36" max="36" width="9.85546875" customWidth="1"/>
    <col min="37" max="37" width="11.140625" customWidth="1"/>
    <col min="38" max="38" width="11.5703125" customWidth="1"/>
    <col min="39" max="39" width="11" customWidth="1"/>
    <col min="40" max="40" width="10.7109375" customWidth="1"/>
    <col min="41" max="41" width="11.7109375" customWidth="1"/>
    <col min="42" max="42" width="12.42578125" customWidth="1"/>
    <col min="43" max="43" width="10.85546875" customWidth="1"/>
    <col min="44" max="44" width="12.42578125" customWidth="1"/>
    <col min="45" max="45" width="12" customWidth="1"/>
    <col min="46" max="46" width="10.28515625" customWidth="1"/>
    <col min="47" max="47" width="9.42578125" customWidth="1"/>
    <col min="48" max="48" width="12" customWidth="1"/>
    <col min="49" max="49" width="17.28515625" bestFit="1" customWidth="1"/>
    <col min="50" max="50" width="6" bestFit="1" customWidth="1"/>
    <col min="51" max="51" width="9.42578125" customWidth="1"/>
    <col min="52" max="52" width="9.28515625" customWidth="1"/>
    <col min="53" max="53" width="8.140625" customWidth="1"/>
    <col min="54" max="54" width="9" customWidth="1"/>
    <col min="55" max="55" width="8.7109375" customWidth="1"/>
    <col min="56" max="56" width="8.28515625" customWidth="1"/>
    <col min="57" max="57" width="8" customWidth="1"/>
    <col min="58" max="58" width="9.42578125" customWidth="1"/>
    <col min="59" max="59" width="8.5703125" customWidth="1"/>
    <col min="60" max="60" width="9.5703125" customWidth="1"/>
    <col min="61" max="61" width="9" customWidth="1"/>
    <col min="62" max="62" width="10" customWidth="1"/>
    <col min="63" max="63" width="10.140625" customWidth="1"/>
    <col min="64" max="64" width="10" customWidth="1"/>
    <col min="65" max="65" width="18" customWidth="1"/>
    <col min="82" max="82" width="17.28515625" bestFit="1" customWidth="1"/>
  </cols>
  <sheetData>
    <row r="1" spans="1:97" ht="21" customHeight="1" thickBot="1" x14ac:dyDescent="0.3">
      <c r="A1" s="2236" t="s">
        <v>175</v>
      </c>
      <c r="B1" s="2237"/>
      <c r="C1" s="2237"/>
      <c r="D1" s="2237"/>
      <c r="E1" s="2237"/>
      <c r="F1" s="2237"/>
      <c r="G1" s="2237"/>
      <c r="H1" s="2237"/>
      <c r="I1" s="2237"/>
      <c r="J1" s="2237"/>
      <c r="K1" s="2237"/>
      <c r="L1" s="2237"/>
      <c r="M1" s="2237"/>
      <c r="N1" s="2237"/>
      <c r="O1" s="2237"/>
      <c r="P1" s="2238"/>
      <c r="Q1" s="2236" t="s">
        <v>174</v>
      </c>
      <c r="R1" s="2237"/>
      <c r="S1" s="2237"/>
      <c r="T1" s="2237"/>
      <c r="U1" s="2237"/>
      <c r="V1" s="2237"/>
      <c r="W1" s="2237"/>
      <c r="X1" s="2237"/>
      <c r="Y1" s="2237"/>
      <c r="Z1" s="2237"/>
      <c r="AA1" s="2237"/>
      <c r="AB1" s="2237"/>
      <c r="AC1" s="2237"/>
      <c r="AD1" s="2237"/>
      <c r="AE1" s="2237"/>
      <c r="AF1" s="2238"/>
      <c r="AG1" s="2237" t="s">
        <v>175</v>
      </c>
      <c r="AH1" s="2237"/>
      <c r="AI1" s="2237"/>
      <c r="AJ1" s="2237"/>
      <c r="AK1" s="2237"/>
      <c r="AL1" s="2237"/>
      <c r="AM1" s="2237"/>
      <c r="AN1" s="2237"/>
      <c r="AO1" s="2237"/>
      <c r="AP1" s="2237"/>
      <c r="AQ1" s="2237"/>
      <c r="AR1" s="2237"/>
      <c r="AS1" s="2237"/>
      <c r="AT1" s="2237"/>
      <c r="AU1" s="2237"/>
      <c r="AV1" s="2238"/>
      <c r="AW1" s="2236" t="s">
        <v>175</v>
      </c>
      <c r="AX1" s="2237"/>
      <c r="AY1" s="2237"/>
      <c r="AZ1" s="2237"/>
      <c r="BA1" s="2237"/>
      <c r="BB1" s="2237"/>
      <c r="BC1" s="2237"/>
      <c r="BD1" s="2237"/>
      <c r="BE1" s="2237"/>
      <c r="BF1" s="2237"/>
      <c r="BG1" s="2237"/>
      <c r="BH1" s="2237"/>
      <c r="BI1" s="2237"/>
      <c r="BJ1" s="2237"/>
      <c r="BK1" s="2237"/>
      <c r="BL1" s="2238"/>
      <c r="BM1" s="2236" t="s">
        <v>175</v>
      </c>
      <c r="BN1" s="2237"/>
      <c r="BO1" s="2237"/>
      <c r="BP1" s="2237"/>
      <c r="BQ1" s="2237"/>
      <c r="BR1" s="2237"/>
      <c r="BS1" s="2237"/>
      <c r="BT1" s="2237"/>
      <c r="BU1" s="2237"/>
      <c r="BV1" s="2237"/>
      <c r="BW1" s="2237"/>
      <c r="BX1" s="2237"/>
      <c r="BY1" s="2237"/>
      <c r="BZ1" s="2237"/>
      <c r="CA1" s="2237"/>
      <c r="CB1" s="2238"/>
      <c r="CD1" s="2275"/>
      <c r="CE1" s="2276"/>
      <c r="CF1" s="2276"/>
      <c r="CG1" s="2276"/>
      <c r="CH1" s="2276"/>
      <c r="CI1" s="2276"/>
      <c r="CJ1" s="2276"/>
      <c r="CK1" s="2276"/>
      <c r="CL1" s="2276"/>
      <c r="CM1" s="2276"/>
      <c r="CN1" s="2276"/>
      <c r="CO1" s="2276"/>
      <c r="CP1" s="2276"/>
      <c r="CQ1" s="2276"/>
      <c r="CR1" s="2276"/>
      <c r="CS1" s="2277"/>
    </row>
    <row r="2" spans="1:97" ht="20.25" customHeight="1" thickBot="1" x14ac:dyDescent="0.3">
      <c r="A2" s="1" t="s">
        <v>7</v>
      </c>
      <c r="B2" s="2239"/>
      <c r="C2" s="2240"/>
      <c r="D2" s="2241"/>
      <c r="E2" s="2242"/>
      <c r="F2" s="983" t="s">
        <v>3</v>
      </c>
      <c r="G2" s="2240"/>
      <c r="H2" s="2241"/>
      <c r="I2" s="2242"/>
      <c r="J2" s="2243"/>
      <c r="K2" s="2244"/>
      <c r="L2" s="2244"/>
      <c r="M2" s="2244"/>
      <c r="N2" s="2244"/>
      <c r="O2" s="2244"/>
      <c r="P2" s="2245"/>
      <c r="Q2" s="1" t="s">
        <v>5</v>
      </c>
      <c r="R2" s="2239"/>
      <c r="S2" s="2263"/>
      <c r="T2" s="2264"/>
      <c r="U2" s="2265"/>
      <c r="V2" s="6" t="s">
        <v>3</v>
      </c>
      <c r="W2" s="2263"/>
      <c r="X2" s="2264"/>
      <c r="Y2" s="2265"/>
      <c r="Z2" s="2266"/>
      <c r="AA2" s="2267"/>
      <c r="AB2" s="2267"/>
      <c r="AC2" s="2267"/>
      <c r="AD2" s="2267"/>
      <c r="AE2" s="2267"/>
      <c r="AF2" s="2257"/>
      <c r="AG2" s="903" t="s">
        <v>87</v>
      </c>
      <c r="AH2" s="2239"/>
      <c r="AI2" s="2263"/>
      <c r="AJ2" s="2264"/>
      <c r="AK2" s="2265"/>
      <c r="AL2" s="6" t="s">
        <v>3</v>
      </c>
      <c r="AM2" s="2263"/>
      <c r="AN2" s="2264"/>
      <c r="AO2" s="2265"/>
      <c r="AP2" s="2266"/>
      <c r="AQ2" s="2267"/>
      <c r="AR2" s="2267"/>
      <c r="AS2" s="2267"/>
      <c r="AT2" s="2267"/>
      <c r="AU2" s="2267"/>
      <c r="AV2" s="2257"/>
      <c r="AW2" s="1" t="s">
        <v>7</v>
      </c>
      <c r="AX2" s="2239"/>
      <c r="AY2" s="2240"/>
      <c r="AZ2" s="2241"/>
      <c r="BA2" s="2242"/>
      <c r="BB2" s="983" t="s">
        <v>3</v>
      </c>
      <c r="BC2" s="2240"/>
      <c r="BD2" s="2241"/>
      <c r="BE2" s="2242"/>
      <c r="BF2" s="2243"/>
      <c r="BG2" s="2244"/>
      <c r="BH2" s="2244"/>
      <c r="BI2" s="2244"/>
      <c r="BJ2" s="2244"/>
      <c r="BK2" s="2244"/>
      <c r="BL2" s="2245"/>
      <c r="BM2" s="1" t="s">
        <v>7</v>
      </c>
      <c r="BN2" s="2239"/>
      <c r="BO2" s="2240">
        <v>46226</v>
      </c>
      <c r="BP2" s="2241"/>
      <c r="BQ2" s="2242"/>
      <c r="BR2" s="983" t="s">
        <v>3</v>
      </c>
      <c r="BS2" s="2240">
        <v>46232</v>
      </c>
      <c r="BT2" s="2241"/>
      <c r="BU2" s="2242"/>
      <c r="BV2" s="2243"/>
      <c r="BW2" s="2244"/>
      <c r="BX2" s="2244"/>
      <c r="BY2" s="2244"/>
      <c r="BZ2" s="2244"/>
      <c r="CA2" s="2244"/>
      <c r="CB2" s="2245"/>
      <c r="CD2" s="994"/>
      <c r="CE2" s="2210"/>
      <c r="CF2" s="2221"/>
      <c r="CG2" s="2279"/>
      <c r="CH2" s="2280"/>
      <c r="CI2" s="1002"/>
      <c r="CJ2" s="2221"/>
      <c r="CK2" s="2279"/>
      <c r="CL2" s="2280"/>
      <c r="CM2" s="2281"/>
      <c r="CN2" s="2282"/>
      <c r="CO2" s="2282"/>
      <c r="CP2" s="2282"/>
      <c r="CQ2" s="2282"/>
      <c r="CR2" s="2282"/>
      <c r="CS2" s="2283"/>
    </row>
    <row r="3" spans="1:97" ht="21" customHeight="1" x14ac:dyDescent="0.25">
      <c r="A3" s="2"/>
      <c r="B3" s="2225"/>
      <c r="C3" s="2246" t="s">
        <v>9</v>
      </c>
      <c r="D3" s="2247"/>
      <c r="E3" s="2248" t="s">
        <v>10</v>
      </c>
      <c r="F3" s="2247"/>
      <c r="G3" s="2249" t="s">
        <v>11</v>
      </c>
      <c r="H3" s="2250"/>
      <c r="I3" s="2248" t="s">
        <v>12</v>
      </c>
      <c r="J3" s="2251"/>
      <c r="K3" s="2191" t="s">
        <v>13</v>
      </c>
      <c r="L3" s="2250"/>
      <c r="M3" s="2249" t="s">
        <v>14</v>
      </c>
      <c r="N3" s="2250"/>
      <c r="O3" s="2249" t="s">
        <v>15</v>
      </c>
      <c r="P3" s="2252"/>
      <c r="Q3" s="2"/>
      <c r="R3" s="2262"/>
      <c r="S3" s="2268" t="s">
        <v>9</v>
      </c>
      <c r="T3" s="2257"/>
      <c r="U3" s="2267" t="s">
        <v>10</v>
      </c>
      <c r="V3" s="2267"/>
      <c r="W3" s="2267" t="s">
        <v>11</v>
      </c>
      <c r="X3" s="2257"/>
      <c r="Y3" s="2267" t="s">
        <v>12</v>
      </c>
      <c r="Z3" s="2257"/>
      <c r="AA3" s="2268" t="s">
        <v>13</v>
      </c>
      <c r="AB3" s="2267"/>
      <c r="AC3" s="2268" t="s">
        <v>14</v>
      </c>
      <c r="AD3" s="2257"/>
      <c r="AE3" s="2267" t="s">
        <v>15</v>
      </c>
      <c r="AF3" s="2257"/>
      <c r="AG3" s="904"/>
      <c r="AH3" s="2262"/>
      <c r="AI3" s="2268" t="s">
        <v>9</v>
      </c>
      <c r="AJ3" s="2272"/>
      <c r="AK3" s="2256" t="s">
        <v>10</v>
      </c>
      <c r="AL3" s="2272"/>
      <c r="AM3" s="2273" t="s">
        <v>11</v>
      </c>
      <c r="AN3" s="2274"/>
      <c r="AO3" s="2256" t="s">
        <v>12</v>
      </c>
      <c r="AP3" s="2257"/>
      <c r="AQ3" s="2253" t="s">
        <v>13</v>
      </c>
      <c r="AR3" s="2254"/>
      <c r="AS3" s="2255" t="s">
        <v>14</v>
      </c>
      <c r="AT3" s="2254"/>
      <c r="AU3" s="2256" t="s">
        <v>15</v>
      </c>
      <c r="AV3" s="2257"/>
      <c r="AW3" s="2"/>
      <c r="AX3" s="2225"/>
      <c r="AY3" s="2246" t="s">
        <v>9</v>
      </c>
      <c r="AZ3" s="2247"/>
      <c r="BA3" s="2248" t="s">
        <v>10</v>
      </c>
      <c r="BB3" s="2247"/>
      <c r="BC3" s="2249" t="s">
        <v>11</v>
      </c>
      <c r="BD3" s="2250"/>
      <c r="BE3" s="2248" t="s">
        <v>12</v>
      </c>
      <c r="BF3" s="2251"/>
      <c r="BG3" s="2258" t="s">
        <v>13</v>
      </c>
      <c r="BH3" s="2259"/>
      <c r="BI3" s="2260" t="s">
        <v>14</v>
      </c>
      <c r="BJ3" s="2259"/>
      <c r="BK3" s="2260" t="s">
        <v>15</v>
      </c>
      <c r="BL3" s="2261"/>
      <c r="BM3" s="2"/>
      <c r="BN3" s="2225"/>
      <c r="BO3" s="2246" t="s">
        <v>9</v>
      </c>
      <c r="BP3" s="2247"/>
      <c r="BQ3" s="2248" t="s">
        <v>10</v>
      </c>
      <c r="BR3" s="2247"/>
      <c r="BS3" s="2249" t="s">
        <v>11</v>
      </c>
      <c r="BT3" s="2250"/>
      <c r="BU3" s="2248" t="s">
        <v>12</v>
      </c>
      <c r="BV3" s="2251"/>
      <c r="BW3" s="2191" t="s">
        <v>13</v>
      </c>
      <c r="BX3" s="2250"/>
      <c r="BY3" s="2249" t="s">
        <v>14</v>
      </c>
      <c r="BZ3" s="2250"/>
      <c r="CA3" s="2249" t="s">
        <v>15</v>
      </c>
      <c r="CB3" s="2252"/>
      <c r="CD3" s="995"/>
      <c r="CE3" s="2278"/>
      <c r="CF3" s="2246"/>
      <c r="CG3" s="2247"/>
      <c r="CH3" s="2248"/>
      <c r="CI3" s="2247"/>
      <c r="CJ3" s="2248"/>
      <c r="CK3" s="2247"/>
      <c r="CL3" s="2248"/>
      <c r="CM3" s="2251"/>
      <c r="CN3" s="2284"/>
      <c r="CO3" s="2247"/>
      <c r="CP3" s="2248"/>
      <c r="CQ3" s="2247"/>
      <c r="CR3" s="2248"/>
      <c r="CS3" s="2285"/>
    </row>
    <row r="4" spans="1:97" ht="21" customHeight="1" thickBot="1" x14ac:dyDescent="0.3">
      <c r="A4" s="3" t="s">
        <v>16</v>
      </c>
      <c r="B4" s="932" t="s">
        <v>17</v>
      </c>
      <c r="C4" s="2235">
        <v>46198</v>
      </c>
      <c r="D4" s="2230"/>
      <c r="E4" s="2229">
        <f>C4+1</f>
        <v>46199</v>
      </c>
      <c r="F4" s="2230"/>
      <c r="G4" s="2229">
        <f>E4+1</f>
        <v>46200</v>
      </c>
      <c r="H4" s="2230"/>
      <c r="I4" s="2229">
        <f>G4+1</f>
        <v>46201</v>
      </c>
      <c r="J4" s="2230"/>
      <c r="K4" s="2229">
        <f>I4+1</f>
        <v>46202</v>
      </c>
      <c r="L4" s="2230"/>
      <c r="M4" s="2229">
        <f>K4+1</f>
        <v>46203</v>
      </c>
      <c r="N4" s="2230"/>
      <c r="O4" s="2229">
        <f>M4+1</f>
        <v>46204</v>
      </c>
      <c r="P4" s="2234"/>
      <c r="Q4" s="3" t="s">
        <v>16</v>
      </c>
      <c r="R4" s="4" t="s">
        <v>17</v>
      </c>
      <c r="S4" s="2231">
        <v>46205</v>
      </c>
      <c r="T4" s="2269"/>
      <c r="U4" s="2231">
        <f>S4+1</f>
        <v>46206</v>
      </c>
      <c r="V4" s="2269"/>
      <c r="W4" s="2231">
        <f>U4+1</f>
        <v>46207</v>
      </c>
      <c r="X4" s="2269"/>
      <c r="Y4" s="2231">
        <f>W4+1</f>
        <v>46208</v>
      </c>
      <c r="Z4" s="2269"/>
      <c r="AA4" s="2231">
        <f>Y4+1</f>
        <v>46209</v>
      </c>
      <c r="AB4" s="2269"/>
      <c r="AC4" s="2231">
        <f>AA4+1</f>
        <v>46210</v>
      </c>
      <c r="AD4" s="2269"/>
      <c r="AE4" s="2231">
        <f>AC4+1</f>
        <v>46211</v>
      </c>
      <c r="AF4" s="2232"/>
      <c r="AG4" s="262" t="s">
        <v>16</v>
      </c>
      <c r="AH4" s="4" t="s">
        <v>17</v>
      </c>
      <c r="AI4" s="2270">
        <v>46212</v>
      </c>
      <c r="AJ4" s="2271"/>
      <c r="AK4" s="2270">
        <f>AI4+1</f>
        <v>46213</v>
      </c>
      <c r="AL4" s="2271"/>
      <c r="AM4" s="2231">
        <f>AK4+1</f>
        <v>46214</v>
      </c>
      <c r="AN4" s="2232"/>
      <c r="AO4" s="2231">
        <f>AM4+1</f>
        <v>46215</v>
      </c>
      <c r="AP4" s="2232"/>
      <c r="AQ4" s="2231">
        <f>AO4+1</f>
        <v>46216</v>
      </c>
      <c r="AR4" s="2269"/>
      <c r="AS4" s="2229">
        <f>AQ4+1</f>
        <v>46217</v>
      </c>
      <c r="AT4" s="2230"/>
      <c r="AU4" s="2231">
        <f>AS4+1</f>
        <v>46218</v>
      </c>
      <c r="AV4" s="2269"/>
      <c r="AW4" s="3" t="s">
        <v>16</v>
      </c>
      <c r="AX4" s="932" t="s">
        <v>17</v>
      </c>
      <c r="AY4" s="2235">
        <v>46219</v>
      </c>
      <c r="AZ4" s="2230"/>
      <c r="BA4" s="2229">
        <f>AY4+1</f>
        <v>46220</v>
      </c>
      <c r="BB4" s="2230"/>
      <c r="BC4" s="2231">
        <f>BA4+1</f>
        <v>46221</v>
      </c>
      <c r="BD4" s="2232"/>
      <c r="BE4" s="2229">
        <f>BC4+1</f>
        <v>46222</v>
      </c>
      <c r="BF4" s="2233"/>
      <c r="BG4" s="2229">
        <f>BE4+1</f>
        <v>46223</v>
      </c>
      <c r="BH4" s="2230"/>
      <c r="BI4" s="2229">
        <f>BG4+1</f>
        <v>46224</v>
      </c>
      <c r="BJ4" s="2230"/>
      <c r="BK4" s="2229">
        <f>BI4+1</f>
        <v>46225</v>
      </c>
      <c r="BL4" s="2234"/>
      <c r="BM4" s="3" t="s">
        <v>16</v>
      </c>
      <c r="BN4" s="932" t="s">
        <v>17</v>
      </c>
      <c r="BO4" s="2235">
        <v>46226</v>
      </c>
      <c r="BP4" s="2230"/>
      <c r="BQ4" s="2229">
        <f>BO4+1</f>
        <v>46227</v>
      </c>
      <c r="BR4" s="2230"/>
      <c r="BS4" s="2229">
        <f>BQ4+1</f>
        <v>46228</v>
      </c>
      <c r="BT4" s="2230"/>
      <c r="BU4" s="2229">
        <f>BS4+1</f>
        <v>46229</v>
      </c>
      <c r="BV4" s="2230"/>
      <c r="BW4" s="2229">
        <f>BU4+1</f>
        <v>46230</v>
      </c>
      <c r="BX4" s="2230"/>
      <c r="BY4" s="2229">
        <f>BW4+1</f>
        <v>46231</v>
      </c>
      <c r="BZ4" s="2230"/>
      <c r="CA4" s="2229">
        <f>BY4+1</f>
        <v>46232</v>
      </c>
      <c r="CB4" s="2234"/>
      <c r="CD4" s="996"/>
      <c r="CE4" s="1003"/>
      <c r="CF4" s="2235"/>
      <c r="CG4" s="2230"/>
      <c r="CH4" s="2229"/>
      <c r="CI4" s="2230"/>
      <c r="CJ4" s="2229"/>
      <c r="CK4" s="2230"/>
      <c r="CL4" s="2229"/>
      <c r="CM4" s="2230"/>
      <c r="CN4" s="2229"/>
      <c r="CO4" s="2230"/>
      <c r="CP4" s="2229"/>
      <c r="CQ4" s="2230"/>
      <c r="CR4" s="2229"/>
      <c r="CS4" s="2234"/>
    </row>
    <row r="5" spans="1:97" ht="21" customHeight="1" x14ac:dyDescent="0.25">
      <c r="A5" s="8" t="s">
        <v>176</v>
      </c>
      <c r="B5" s="9" t="s">
        <v>19</v>
      </c>
      <c r="C5" s="1293">
        <v>0.58333333333333337</v>
      </c>
      <c r="D5" s="930">
        <v>0.875</v>
      </c>
      <c r="E5" s="930">
        <v>0.83333333333333337</v>
      </c>
      <c r="F5" s="930">
        <v>8.3333333333333329E-2</v>
      </c>
      <c r="G5" s="930">
        <v>0.58333333333333337</v>
      </c>
      <c r="H5" s="930">
        <v>0.875</v>
      </c>
      <c r="I5" s="1294">
        <v>0.54166666666666663</v>
      </c>
      <c r="J5" s="1294">
        <v>0.83333333333333337</v>
      </c>
      <c r="K5" s="1294">
        <v>0.54166666666666663</v>
      </c>
      <c r="L5" s="1294">
        <v>0.83333333333333337</v>
      </c>
      <c r="M5" s="1185" t="s">
        <v>95</v>
      </c>
      <c r="N5" s="1185" t="s">
        <v>95</v>
      </c>
      <c r="O5" s="1185" t="s">
        <v>90</v>
      </c>
      <c r="P5" s="1334" t="s">
        <v>90</v>
      </c>
      <c r="Q5" s="933" t="s">
        <v>176</v>
      </c>
      <c r="R5" s="9" t="s">
        <v>19</v>
      </c>
      <c r="S5" s="1277">
        <v>0.625</v>
      </c>
      <c r="T5" s="1278">
        <v>0.91666666666666663</v>
      </c>
      <c r="U5" s="1278">
        <v>0.83333333333333337</v>
      </c>
      <c r="V5" s="1278">
        <v>8.3333333333333329E-2</v>
      </c>
      <c r="W5" s="1278">
        <v>0.70833333333333337</v>
      </c>
      <c r="X5" s="1278">
        <v>0.97916666666666663</v>
      </c>
      <c r="Y5" s="1278">
        <v>0.70833333333333337</v>
      </c>
      <c r="Z5" s="1278">
        <v>0.97916666666666663</v>
      </c>
      <c r="AA5" s="1278">
        <v>0.54166666666666663</v>
      </c>
      <c r="AB5" s="1278">
        <v>0.83333333333333337</v>
      </c>
      <c r="AC5" s="1146" t="s">
        <v>91</v>
      </c>
      <c r="AD5" s="1146" t="s">
        <v>91</v>
      </c>
      <c r="AE5" s="1278">
        <v>0.58333333333333337</v>
      </c>
      <c r="AF5" s="1279">
        <v>0.875</v>
      </c>
      <c r="AG5" s="8" t="s">
        <v>176</v>
      </c>
      <c r="AH5" s="9" t="s">
        <v>19</v>
      </c>
      <c r="AI5" s="1159">
        <v>0.70833333333333337</v>
      </c>
      <c r="AJ5" s="1130">
        <v>0.97916666666666663</v>
      </c>
      <c r="AK5" s="1185" t="s">
        <v>92</v>
      </c>
      <c r="AL5" s="1185" t="s">
        <v>92</v>
      </c>
      <c r="AM5" s="1130">
        <v>0.625</v>
      </c>
      <c r="AN5" s="1130">
        <v>0.90972222222222221</v>
      </c>
      <c r="AO5" s="1130">
        <v>0.54166666666666663</v>
      </c>
      <c r="AP5" s="1130">
        <v>0.83333333333333337</v>
      </c>
      <c r="AQ5" s="1130">
        <v>0.54166666666666663</v>
      </c>
      <c r="AR5" s="1130">
        <v>0.83333333333333337</v>
      </c>
      <c r="AS5" s="1130">
        <v>0.54166666666666663</v>
      </c>
      <c r="AT5" s="1130">
        <v>0.83333333333333337</v>
      </c>
      <c r="AU5" s="1130">
        <v>0.70833333333333337</v>
      </c>
      <c r="AV5" s="1212">
        <v>0.97916666666666663</v>
      </c>
      <c r="AW5" s="1194" t="s">
        <v>176</v>
      </c>
      <c r="AX5" s="9" t="s">
        <v>19</v>
      </c>
      <c r="AY5" s="1788" t="s">
        <v>93</v>
      </c>
      <c r="AZ5" s="1185" t="s">
        <v>93</v>
      </c>
      <c r="BA5" s="1185" t="s">
        <v>94</v>
      </c>
      <c r="BB5" s="1185" t="s">
        <v>94</v>
      </c>
      <c r="BC5" s="1789">
        <v>0.91666666666666663</v>
      </c>
      <c r="BD5" s="1789">
        <v>0.16666666666666666</v>
      </c>
      <c r="BE5" s="1789">
        <v>0.70833333333333337</v>
      </c>
      <c r="BF5" s="1789">
        <v>0.97916666666666663</v>
      </c>
      <c r="BG5" s="930">
        <v>0.47916666666666669</v>
      </c>
      <c r="BH5" s="930">
        <v>0.77083333333333337</v>
      </c>
      <c r="BI5" s="930">
        <v>0.58333333333333337</v>
      </c>
      <c r="BJ5" s="930">
        <v>0.875</v>
      </c>
      <c r="BK5" s="930">
        <v>0.45833333333333331</v>
      </c>
      <c r="BL5" s="930">
        <v>0.75</v>
      </c>
      <c r="BM5" s="8" t="s">
        <v>176</v>
      </c>
      <c r="BN5" s="9" t="s">
        <v>19</v>
      </c>
      <c r="BO5" s="1293">
        <v>0.54166666666666663</v>
      </c>
      <c r="BP5" s="930">
        <v>0.83333333333333337</v>
      </c>
      <c r="BQ5" s="930">
        <v>0.45833333333333331</v>
      </c>
      <c r="BR5" s="930">
        <v>0.75</v>
      </c>
      <c r="BS5" s="1185" t="s">
        <v>95</v>
      </c>
      <c r="BT5" s="1185" t="s">
        <v>95</v>
      </c>
      <c r="BU5" s="930">
        <v>0.45833333333333331</v>
      </c>
      <c r="BV5" s="930">
        <v>0.75</v>
      </c>
      <c r="BW5" s="930">
        <v>0.45833333333333331</v>
      </c>
      <c r="BX5" s="930">
        <v>0.75</v>
      </c>
      <c r="BY5" s="930">
        <v>0.45833333333333331</v>
      </c>
      <c r="BZ5" s="930">
        <v>0.75</v>
      </c>
      <c r="CA5" s="930">
        <v>0.45833333333333331</v>
      </c>
      <c r="CB5" s="1731">
        <v>0.75</v>
      </c>
      <c r="CD5" s="1004"/>
      <c r="CE5" s="997"/>
      <c r="CF5" s="990"/>
      <c r="CG5" s="991"/>
      <c r="CH5" s="929"/>
      <c r="CI5" s="929"/>
      <c r="CJ5" s="930"/>
      <c r="CK5" s="930"/>
      <c r="CL5" s="929"/>
      <c r="CM5" s="929"/>
      <c r="CN5" s="929"/>
      <c r="CO5" s="929"/>
      <c r="CP5" s="929"/>
      <c r="CQ5" s="929"/>
      <c r="CR5" s="929"/>
      <c r="CS5" s="984"/>
    </row>
    <row r="6" spans="1:97" ht="22.5" customHeight="1" x14ac:dyDescent="0.25">
      <c r="A6" s="10" t="s">
        <v>177</v>
      </c>
      <c r="B6" s="11" t="s">
        <v>19</v>
      </c>
      <c r="C6" s="1295">
        <v>0.375</v>
      </c>
      <c r="D6" s="929">
        <v>0.66666666666666663</v>
      </c>
      <c r="E6" s="929">
        <v>0.54166666666666663</v>
      </c>
      <c r="F6" s="929">
        <v>0.83333333333333337</v>
      </c>
      <c r="G6" s="1296">
        <v>0.41666666666666669</v>
      </c>
      <c r="H6" s="1296">
        <v>0.70833333333333337</v>
      </c>
      <c r="I6" s="1146" t="s">
        <v>94</v>
      </c>
      <c r="J6" s="1146" t="s">
        <v>94</v>
      </c>
      <c r="K6" s="1146" t="s">
        <v>95</v>
      </c>
      <c r="L6" s="1146" t="s">
        <v>95</v>
      </c>
      <c r="M6" s="929">
        <v>0.54166666666666663</v>
      </c>
      <c r="N6" s="929">
        <v>0.83333333333333337</v>
      </c>
      <c r="O6" s="929">
        <v>0.54166666666666663</v>
      </c>
      <c r="P6" s="1297">
        <v>0.83333333333333337</v>
      </c>
      <c r="Q6" s="10" t="s">
        <v>177</v>
      </c>
      <c r="R6" s="11" t="s">
        <v>19</v>
      </c>
      <c r="S6" s="1280">
        <v>0.375</v>
      </c>
      <c r="T6" s="1276">
        <v>0.66666666666666663</v>
      </c>
      <c r="U6" s="1276">
        <v>0.54166666666666663</v>
      </c>
      <c r="V6" s="1276">
        <v>0.83333333333333337</v>
      </c>
      <c r="W6" s="1276">
        <v>0.41666666666666669</v>
      </c>
      <c r="X6" s="1276">
        <v>0.70833333333333337</v>
      </c>
      <c r="Y6" s="1146" t="s">
        <v>90</v>
      </c>
      <c r="Z6" s="1146" t="s">
        <v>90</v>
      </c>
      <c r="AA6" s="1146" t="s">
        <v>91</v>
      </c>
      <c r="AB6" s="1146" t="s">
        <v>91</v>
      </c>
      <c r="AC6" s="1276">
        <v>0.54166666666666663</v>
      </c>
      <c r="AD6" s="1276">
        <v>0.83333333333333337</v>
      </c>
      <c r="AE6" s="1276">
        <v>0.41666666666666669</v>
      </c>
      <c r="AF6" s="1281">
        <v>0.70833333333333337</v>
      </c>
      <c r="AG6" s="10" t="s">
        <v>177</v>
      </c>
      <c r="AH6" s="11" t="s">
        <v>19</v>
      </c>
      <c r="AI6" s="1124">
        <v>0.41666666666666669</v>
      </c>
      <c r="AJ6" s="1125">
        <v>0.70833333333333337</v>
      </c>
      <c r="AK6" s="1125">
        <v>0.41666666666666669</v>
      </c>
      <c r="AL6" s="1125">
        <v>0.70833333333333337</v>
      </c>
      <c r="AM6" s="1146" t="s">
        <v>92</v>
      </c>
      <c r="AN6" s="1146" t="s">
        <v>92</v>
      </c>
      <c r="AO6" s="1125">
        <v>0.41666666666666669</v>
      </c>
      <c r="AP6" s="1684" t="s">
        <v>121</v>
      </c>
      <c r="AQ6" s="1684" t="s">
        <v>121</v>
      </c>
      <c r="AR6" s="1684" t="s">
        <v>121</v>
      </c>
      <c r="AS6" s="1684" t="s">
        <v>121</v>
      </c>
      <c r="AT6" s="1684" t="s">
        <v>121</v>
      </c>
      <c r="AU6" s="1684" t="s">
        <v>121</v>
      </c>
      <c r="AV6" s="1684" t="s">
        <v>121</v>
      </c>
      <c r="AW6" s="1195" t="s">
        <v>177</v>
      </c>
      <c r="AX6" s="11" t="s">
        <v>19</v>
      </c>
      <c r="AY6" s="1790" t="s">
        <v>121</v>
      </c>
      <c r="AZ6" s="1684" t="s">
        <v>121</v>
      </c>
      <c r="BA6" s="1684" t="s">
        <v>121</v>
      </c>
      <c r="BB6" s="1684" t="s">
        <v>121</v>
      </c>
      <c r="BC6" s="1684" t="s">
        <v>121</v>
      </c>
      <c r="BD6" s="1684" t="s">
        <v>121</v>
      </c>
      <c r="BE6" s="1684" t="s">
        <v>121</v>
      </c>
      <c r="BF6" s="1684" t="s">
        <v>121</v>
      </c>
      <c r="BG6" s="1684" t="s">
        <v>121</v>
      </c>
      <c r="BH6" s="1684" t="s">
        <v>121</v>
      </c>
      <c r="BI6" s="1684" t="s">
        <v>121</v>
      </c>
      <c r="BJ6" s="1684" t="s">
        <v>121</v>
      </c>
      <c r="BK6" s="1684" t="s">
        <v>121</v>
      </c>
      <c r="BL6" s="1791" t="s">
        <v>121</v>
      </c>
      <c r="BM6" s="10" t="s">
        <v>177</v>
      </c>
      <c r="BN6" s="11" t="s">
        <v>19</v>
      </c>
      <c r="BO6" s="1790" t="s">
        <v>121</v>
      </c>
      <c r="BP6" s="1684" t="s">
        <v>121</v>
      </c>
      <c r="BQ6" s="1684" t="s">
        <v>121</v>
      </c>
      <c r="BR6" s="1684" t="s">
        <v>121</v>
      </c>
      <c r="BS6" s="1684" t="s">
        <v>121</v>
      </c>
      <c r="BT6" s="1684" t="s">
        <v>121</v>
      </c>
      <c r="BU6" s="1684" t="s">
        <v>121</v>
      </c>
      <c r="BV6" s="1684" t="s">
        <v>121</v>
      </c>
      <c r="BW6" s="1684" t="s">
        <v>121</v>
      </c>
      <c r="BX6" s="1684" t="s">
        <v>121</v>
      </c>
      <c r="BY6" s="1684" t="s">
        <v>121</v>
      </c>
      <c r="BZ6" s="1684" t="s">
        <v>121</v>
      </c>
      <c r="CA6" s="1684" t="s">
        <v>121</v>
      </c>
      <c r="CB6" s="1791" t="s">
        <v>121</v>
      </c>
      <c r="CD6" s="998"/>
      <c r="CE6" s="999"/>
      <c r="CF6" s="990"/>
      <c r="CG6" s="991"/>
      <c r="CH6" s="929"/>
      <c r="CI6" s="929"/>
      <c r="CJ6" s="929"/>
      <c r="CK6" s="929"/>
      <c r="CL6" s="929"/>
      <c r="CM6" s="929"/>
      <c r="CN6" s="929"/>
      <c r="CO6" s="929"/>
      <c r="CP6" s="929"/>
      <c r="CQ6" s="929"/>
      <c r="CR6" s="929"/>
      <c r="CS6" s="929"/>
    </row>
    <row r="7" spans="1:97" ht="20.25" customHeight="1" x14ac:dyDescent="0.25">
      <c r="A7" s="10" t="s">
        <v>178</v>
      </c>
      <c r="B7" s="11" t="s">
        <v>19</v>
      </c>
      <c r="C7" s="1295">
        <v>0.83333333333333337</v>
      </c>
      <c r="D7" s="929">
        <v>8.3333333333333329E-2</v>
      </c>
      <c r="E7" s="1146" t="s">
        <v>94</v>
      </c>
      <c r="F7" s="1146" t="s">
        <v>94</v>
      </c>
      <c r="G7" s="929">
        <v>0.83333333333333337</v>
      </c>
      <c r="H7" s="929">
        <v>8.3333333333333329E-2</v>
      </c>
      <c r="I7" s="1146" t="s">
        <v>95</v>
      </c>
      <c r="J7" s="1146" t="s">
        <v>95</v>
      </c>
      <c r="K7" s="929">
        <v>0.83333333333333337</v>
      </c>
      <c r="L7" s="929">
        <v>8.3333333333333329E-2</v>
      </c>
      <c r="M7" s="929">
        <v>0.83333333333333337</v>
      </c>
      <c r="N7" s="929">
        <v>8.3333333333333329E-2</v>
      </c>
      <c r="O7" s="929">
        <v>0.83333333333333337</v>
      </c>
      <c r="P7" s="1297">
        <v>8.3333333333333329E-2</v>
      </c>
      <c r="Q7" s="10" t="s">
        <v>178</v>
      </c>
      <c r="R7" s="11" t="s">
        <v>19</v>
      </c>
      <c r="S7" s="1280">
        <v>0.83333333333333337</v>
      </c>
      <c r="T7" s="1276">
        <v>8.3333333333333329E-2</v>
      </c>
      <c r="U7" s="1146" t="s">
        <v>90</v>
      </c>
      <c r="V7" s="1146" t="s">
        <v>90</v>
      </c>
      <c r="W7" s="1276">
        <v>0.875</v>
      </c>
      <c r="X7" s="1276">
        <v>0.125</v>
      </c>
      <c r="Y7" s="1276">
        <v>0.83333333333333337</v>
      </c>
      <c r="Z7" s="1276">
        <v>8.3333333333333329E-2</v>
      </c>
      <c r="AA7" s="1276">
        <v>0.83333333333333337</v>
      </c>
      <c r="AB7" s="1276">
        <v>8.3333333333333329E-2</v>
      </c>
      <c r="AC7" s="1276">
        <v>0.83333333333333337</v>
      </c>
      <c r="AD7" s="1276">
        <v>8.3333333333333329E-2</v>
      </c>
      <c r="AE7" s="1276">
        <v>0.83333333333333337</v>
      </c>
      <c r="AF7" s="1276">
        <v>8.3333333333333329E-2</v>
      </c>
      <c r="AG7" s="10" t="s">
        <v>178</v>
      </c>
      <c r="AH7" s="11" t="s">
        <v>19</v>
      </c>
      <c r="AI7" s="1124">
        <v>0.83333333333333337</v>
      </c>
      <c r="AJ7" s="1125">
        <v>8.3333333333333329E-2</v>
      </c>
      <c r="AK7" s="1125">
        <v>0.83333333333333337</v>
      </c>
      <c r="AL7" s="1125">
        <v>8.3333333333333329E-2</v>
      </c>
      <c r="AM7" s="1125">
        <v>0.83333333333333337</v>
      </c>
      <c r="AN7" s="1125">
        <v>8.3333333333333329E-2</v>
      </c>
      <c r="AO7" s="1146" t="s">
        <v>91</v>
      </c>
      <c r="AP7" s="1146" t="s">
        <v>91</v>
      </c>
      <c r="AQ7" s="1125">
        <v>0.83333333333333337</v>
      </c>
      <c r="AR7" s="1125">
        <v>8.3333333333333329E-2</v>
      </c>
      <c r="AS7" s="1125">
        <v>0.83333333333333337</v>
      </c>
      <c r="AT7" s="1125">
        <v>8.3333333333333329E-2</v>
      </c>
      <c r="AU7" s="1125">
        <v>0.83333333333333337</v>
      </c>
      <c r="AV7" s="1131">
        <v>8.3333333333333329E-2</v>
      </c>
      <c r="AW7" s="1195" t="s">
        <v>178</v>
      </c>
      <c r="AX7" s="11" t="s">
        <v>19</v>
      </c>
      <c r="AY7" s="1124">
        <v>0.70833333333333337</v>
      </c>
      <c r="AZ7" s="1125">
        <v>0.97916666666666663</v>
      </c>
      <c r="BA7" s="1730">
        <v>0.83333333333333337</v>
      </c>
      <c r="BB7" s="1730">
        <v>8.3333333333333329E-2</v>
      </c>
      <c r="BC7" s="1146" t="s">
        <v>92</v>
      </c>
      <c r="BD7" s="1146" t="s">
        <v>92</v>
      </c>
      <c r="BE7" s="1146" t="s">
        <v>93</v>
      </c>
      <c r="BF7" s="1146" t="s">
        <v>93</v>
      </c>
      <c r="BG7" s="1730">
        <v>0.83333333333333337</v>
      </c>
      <c r="BH7" s="1730">
        <v>8.3333333333333329E-2</v>
      </c>
      <c r="BI7" s="1730">
        <v>0.83333333333333337</v>
      </c>
      <c r="BJ7" s="1730">
        <v>8.3333333333333329E-2</v>
      </c>
      <c r="BK7" s="1730">
        <v>0.83333333333333337</v>
      </c>
      <c r="BL7" s="1730">
        <v>8.3333333333333329E-2</v>
      </c>
      <c r="BM7" s="10" t="s">
        <v>178</v>
      </c>
      <c r="BN7" s="11" t="s">
        <v>19</v>
      </c>
      <c r="BO7" s="1295">
        <v>0.83333333333333337</v>
      </c>
      <c r="BP7" s="929">
        <v>8.3333333333333329E-2</v>
      </c>
      <c r="BQ7" s="1146" t="s">
        <v>94</v>
      </c>
      <c r="BR7" s="1146" t="s">
        <v>94</v>
      </c>
      <c r="BS7" s="929">
        <v>0.45833333333333331</v>
      </c>
      <c r="BT7" s="929">
        <v>0.75</v>
      </c>
      <c r="BU7" s="929">
        <v>0.75</v>
      </c>
      <c r="BV7" s="929">
        <v>1.3888888888888888E-2</v>
      </c>
      <c r="BW7" s="929">
        <v>0.75</v>
      </c>
      <c r="BX7" s="929">
        <v>1.3888888888888888E-2</v>
      </c>
      <c r="BY7" s="929">
        <v>0.75</v>
      </c>
      <c r="BZ7" s="929">
        <v>1.3888888888888888E-2</v>
      </c>
      <c r="CA7" s="929">
        <v>0.75</v>
      </c>
      <c r="CB7" s="1297">
        <v>1.3888888888888888E-2</v>
      </c>
      <c r="CD7" s="998"/>
      <c r="CE7" s="999"/>
      <c r="CF7" s="990"/>
      <c r="CG7" s="991"/>
      <c r="CH7" s="929"/>
      <c r="CI7" s="929"/>
      <c r="CJ7" s="929"/>
      <c r="CK7" s="929"/>
      <c r="CL7" s="929"/>
      <c r="CM7" s="929"/>
      <c r="CN7" s="929"/>
      <c r="CO7" s="929"/>
      <c r="CP7" s="929"/>
      <c r="CQ7" s="929"/>
      <c r="CR7" s="929"/>
      <c r="CS7" s="984"/>
    </row>
    <row r="8" spans="1:97" ht="20.25" customHeight="1" thickBot="1" x14ac:dyDescent="0.3">
      <c r="A8" s="261" t="s">
        <v>179</v>
      </c>
      <c r="B8" s="7" t="s">
        <v>38</v>
      </c>
      <c r="C8" s="1335" t="s">
        <v>135</v>
      </c>
      <c r="D8" s="1336" t="s">
        <v>180</v>
      </c>
      <c r="E8" s="1214">
        <v>0.41666666666666669</v>
      </c>
      <c r="F8" s="1214">
        <v>0.70833333333333337</v>
      </c>
      <c r="G8" s="1285"/>
      <c r="H8" s="1285"/>
      <c r="I8" s="1214">
        <v>0.83333333333333337</v>
      </c>
      <c r="J8" s="1214">
        <v>8.3333333333333329E-2</v>
      </c>
      <c r="K8" s="1285"/>
      <c r="L8" s="1285"/>
      <c r="M8" s="1285"/>
      <c r="N8" s="1285"/>
      <c r="O8" s="1285"/>
      <c r="P8" s="1337"/>
      <c r="Q8" s="261" t="s">
        <v>179</v>
      </c>
      <c r="R8" s="7" t="s">
        <v>38</v>
      </c>
      <c r="S8" s="1282">
        <v>0.41666666666666669</v>
      </c>
      <c r="T8" s="1282">
        <v>0.70833333333333337</v>
      </c>
      <c r="U8" s="1282">
        <v>0.41666666666666669</v>
      </c>
      <c r="V8" s="1282">
        <v>0.70833333333333337</v>
      </c>
      <c r="W8" s="1461"/>
      <c r="X8" s="1461"/>
      <c r="Y8" s="1282">
        <v>0.41666666666666669</v>
      </c>
      <c r="Z8" s="1282">
        <v>0.70833333333333337</v>
      </c>
      <c r="AA8" s="1461"/>
      <c r="AB8" s="1461"/>
      <c r="AC8" s="1461"/>
      <c r="AD8" s="1461"/>
      <c r="AE8" s="1461"/>
      <c r="AF8" s="1461"/>
      <c r="AG8" s="261" t="s">
        <v>179</v>
      </c>
      <c r="AH8" s="7" t="s">
        <v>38</v>
      </c>
      <c r="AI8" s="1565">
        <v>0.375</v>
      </c>
      <c r="AJ8" s="1160">
        <v>0.66666666666666663</v>
      </c>
      <c r="AK8" s="1160">
        <v>0.54166666666666663</v>
      </c>
      <c r="AL8" s="1160">
        <v>0.83333333333333337</v>
      </c>
      <c r="AM8" s="1160">
        <v>0.41666666666666669</v>
      </c>
      <c r="AN8" s="1160">
        <v>0.66666666666666663</v>
      </c>
      <c r="AO8" s="1160">
        <v>0.83333333333333337</v>
      </c>
      <c r="AP8" s="1160">
        <v>8.3333333333333329E-2</v>
      </c>
      <c r="AQ8" s="1215"/>
      <c r="AR8" s="1215"/>
      <c r="AS8" s="1215"/>
      <c r="AT8" s="1215"/>
      <c r="AU8" s="1215"/>
      <c r="AV8" s="1272"/>
      <c r="AW8" s="1196" t="s">
        <v>179</v>
      </c>
      <c r="AX8" s="7" t="s">
        <v>38</v>
      </c>
      <c r="AY8" s="1298">
        <v>0.41666666666666669</v>
      </c>
      <c r="AZ8" s="1214">
        <v>0.70833333333333337</v>
      </c>
      <c r="BA8" s="1214">
        <v>0.5</v>
      </c>
      <c r="BB8" s="1214">
        <v>0.75</v>
      </c>
      <c r="BC8" s="1214">
        <v>0.45833333333333331</v>
      </c>
      <c r="BD8" s="1214">
        <v>0.75</v>
      </c>
      <c r="BE8" s="1214">
        <v>0.375</v>
      </c>
      <c r="BF8" s="1214">
        <v>0.66666666666666663</v>
      </c>
      <c r="BG8" s="1793"/>
      <c r="BH8" s="1794"/>
      <c r="BI8" s="1160">
        <v>0.41666666666666669</v>
      </c>
      <c r="BJ8" s="1160">
        <v>0.66666666666666663</v>
      </c>
      <c r="BK8" s="1793"/>
      <c r="BL8" s="1794"/>
      <c r="BM8" s="261" t="s">
        <v>179</v>
      </c>
      <c r="BN8" s="7" t="s">
        <v>38</v>
      </c>
      <c r="BO8" s="1298">
        <v>0.41666666666666669</v>
      </c>
      <c r="BP8" s="1214">
        <v>0.66666666666666663</v>
      </c>
      <c r="BQ8" s="1214">
        <v>0.75</v>
      </c>
      <c r="BR8" s="1214">
        <v>1.3888888888888888E-2</v>
      </c>
      <c r="BS8" s="1214">
        <v>0.75</v>
      </c>
      <c r="BT8" s="1214">
        <v>1.3888888888888888E-2</v>
      </c>
      <c r="BU8" s="1285"/>
      <c r="BV8" s="1285"/>
      <c r="BW8" s="1285"/>
      <c r="BX8" s="1285"/>
      <c r="BY8" s="1285"/>
      <c r="BZ8" s="1285"/>
      <c r="CA8" s="1285"/>
      <c r="CB8" s="1337"/>
      <c r="CD8" s="1000"/>
      <c r="CE8" s="1001"/>
      <c r="CF8" s="990"/>
      <c r="CG8" s="991"/>
      <c r="CH8" s="985"/>
      <c r="CI8" s="985"/>
      <c r="CJ8" s="986"/>
      <c r="CK8" s="986"/>
      <c r="CL8" s="986"/>
      <c r="CM8" s="986"/>
      <c r="CN8" s="929"/>
      <c r="CO8" s="929"/>
      <c r="CP8" s="929"/>
      <c r="CQ8" s="929"/>
      <c r="CR8" s="929"/>
      <c r="CS8" s="929"/>
    </row>
    <row r="9" spans="1:97" ht="15.75" thickBot="1" x14ac:dyDescent="0.3">
      <c r="W9" s="2225"/>
      <c r="X9" s="2226"/>
      <c r="Y9" s="2226"/>
      <c r="Z9" s="2227"/>
    </row>
    <row r="10" spans="1:97" ht="15.75" thickBot="1" x14ac:dyDescent="0.3">
      <c r="W10" s="2228"/>
      <c r="X10" s="2228"/>
    </row>
    <row r="11" spans="1:97" ht="16.5" thickBot="1" x14ac:dyDescent="0.3">
      <c r="D11" s="1146" t="s">
        <v>90</v>
      </c>
      <c r="E11" s="1146" t="s">
        <v>90</v>
      </c>
      <c r="F11" s="1146" t="s">
        <v>91</v>
      </c>
      <c r="G11" s="1146" t="s">
        <v>91</v>
      </c>
      <c r="H11" s="1146" t="s">
        <v>92</v>
      </c>
      <c r="I11" s="1146" t="s">
        <v>92</v>
      </c>
      <c r="J11" s="1146" t="s">
        <v>93</v>
      </c>
      <c r="K11" s="1146" t="s">
        <v>93</v>
      </c>
      <c r="L11" s="1146" t="s">
        <v>94</v>
      </c>
      <c r="M11" s="1146" t="s">
        <v>94</v>
      </c>
      <c r="N11" s="1146" t="s">
        <v>95</v>
      </c>
      <c r="O11" s="1146" t="s">
        <v>95</v>
      </c>
      <c r="S11" s="1146" t="s">
        <v>90</v>
      </c>
      <c r="T11" s="1146" t="s">
        <v>90</v>
      </c>
      <c r="U11" s="1146" t="s">
        <v>91</v>
      </c>
      <c r="V11" s="1146" t="s">
        <v>91</v>
      </c>
      <c r="W11" s="1186" t="s">
        <v>92</v>
      </c>
      <c r="X11" s="1186" t="s">
        <v>92</v>
      </c>
      <c r="Y11" s="1186" t="s">
        <v>93</v>
      </c>
      <c r="Z11" s="1146" t="s">
        <v>93</v>
      </c>
      <c r="AA11" s="1146" t="s">
        <v>94</v>
      </c>
      <c r="AB11" s="1146" t="s">
        <v>94</v>
      </c>
      <c r="AC11" s="1146" t="s">
        <v>95</v>
      </c>
      <c r="AD11" s="1146" t="s">
        <v>95</v>
      </c>
      <c r="AI11" s="1197" t="s">
        <v>90</v>
      </c>
      <c r="AJ11" s="1198" t="s">
        <v>90</v>
      </c>
      <c r="AK11" s="1198" t="s">
        <v>91</v>
      </c>
      <c r="AL11" s="1198" t="s">
        <v>91</v>
      </c>
      <c r="AM11" s="1198" t="s">
        <v>92</v>
      </c>
      <c r="AN11" s="1198" t="s">
        <v>92</v>
      </c>
      <c r="AO11" s="1198" t="s">
        <v>93</v>
      </c>
      <c r="AP11" s="1198" t="s">
        <v>93</v>
      </c>
      <c r="AQ11" s="1198" t="s">
        <v>94</v>
      </c>
      <c r="AR11" s="1198" t="s">
        <v>94</v>
      </c>
      <c r="AS11" s="1198" t="s">
        <v>95</v>
      </c>
      <c r="AT11" s="1199" t="s">
        <v>95</v>
      </c>
      <c r="AY11" s="1197" t="s">
        <v>90</v>
      </c>
      <c r="AZ11" s="1198" t="s">
        <v>90</v>
      </c>
      <c r="BA11" s="1198" t="s">
        <v>91</v>
      </c>
      <c r="BB11" s="1198" t="s">
        <v>91</v>
      </c>
      <c r="BC11" s="1198" t="s">
        <v>92</v>
      </c>
      <c r="BD11" s="1198" t="s">
        <v>92</v>
      </c>
      <c r="BE11" s="1198" t="s">
        <v>93</v>
      </c>
      <c r="BF11" s="1198" t="s">
        <v>93</v>
      </c>
      <c r="BG11" s="1198" t="s">
        <v>94</v>
      </c>
      <c r="BH11" s="1198" t="s">
        <v>94</v>
      </c>
      <c r="BI11" s="1198" t="s">
        <v>95</v>
      </c>
      <c r="BJ11" s="1199" t="s">
        <v>95</v>
      </c>
      <c r="BO11" s="1197" t="s">
        <v>90</v>
      </c>
      <c r="BP11" s="1198" t="s">
        <v>90</v>
      </c>
      <c r="BQ11" s="1198" t="s">
        <v>91</v>
      </c>
      <c r="BR11" s="1198" t="s">
        <v>91</v>
      </c>
      <c r="BS11" s="1198" t="s">
        <v>92</v>
      </c>
      <c r="BT11" s="1198" t="s">
        <v>92</v>
      </c>
      <c r="BU11" s="1198" t="s">
        <v>93</v>
      </c>
      <c r="BV11" s="1198" t="s">
        <v>93</v>
      </c>
      <c r="BW11" s="1198" t="s">
        <v>94</v>
      </c>
      <c r="BX11" s="1198" t="s">
        <v>94</v>
      </c>
      <c r="BY11" s="1198" t="s">
        <v>95</v>
      </c>
      <c r="BZ11" s="1199" t="s">
        <v>95</v>
      </c>
    </row>
    <row r="18" spans="43:43" x14ac:dyDescent="0.25">
      <c r="AQ18" s="1089"/>
    </row>
    <row r="34" spans="43:43" x14ac:dyDescent="0.25">
      <c r="AQ34" s="1134"/>
    </row>
  </sheetData>
  <mergeCells count="116">
    <mergeCell ref="AE3:AF3"/>
    <mergeCell ref="AE4:AF4"/>
    <mergeCell ref="A1:P1"/>
    <mergeCell ref="B2:B3"/>
    <mergeCell ref="CF4:CG4"/>
    <mergeCell ref="CH4:CI4"/>
    <mergeCell ref="CJ4:CK4"/>
    <mergeCell ref="CL4:CM4"/>
    <mergeCell ref="CN4:CO4"/>
    <mergeCell ref="C4:D4"/>
    <mergeCell ref="E4:F4"/>
    <mergeCell ref="G4:H4"/>
    <mergeCell ref="I4:J4"/>
    <mergeCell ref="K4:L4"/>
    <mergeCell ref="W3:X3"/>
    <mergeCell ref="Y3:Z3"/>
    <mergeCell ref="AA3:AB3"/>
    <mergeCell ref="AC3:AD3"/>
    <mergeCell ref="Y4:Z4"/>
    <mergeCell ref="AA4:AB4"/>
    <mergeCell ref="M4:N4"/>
    <mergeCell ref="O4:P4"/>
    <mergeCell ref="AC4:AD4"/>
    <mergeCell ref="S4:T4"/>
    <mergeCell ref="CP4:CQ4"/>
    <mergeCell ref="CR4:CS4"/>
    <mergeCell ref="CD1:CS1"/>
    <mergeCell ref="CE2:CE3"/>
    <mergeCell ref="CF2:CH2"/>
    <mergeCell ref="CJ2:CL2"/>
    <mergeCell ref="CM2:CS2"/>
    <mergeCell ref="CF3:CG3"/>
    <mergeCell ref="CH3:CI3"/>
    <mergeCell ref="CJ3:CK3"/>
    <mergeCell ref="CL3:CM3"/>
    <mergeCell ref="CN3:CO3"/>
    <mergeCell ref="CP3:CQ3"/>
    <mergeCell ref="CR3:CS3"/>
    <mergeCell ref="U4:V4"/>
    <mergeCell ref="W4:X4"/>
    <mergeCell ref="C2:E2"/>
    <mergeCell ref="G2:I2"/>
    <mergeCell ref="J2:P2"/>
    <mergeCell ref="C3:D3"/>
    <mergeCell ref="E3:F3"/>
    <mergeCell ref="G3:H3"/>
    <mergeCell ref="I3:J3"/>
    <mergeCell ref="K3:L3"/>
    <mergeCell ref="M3:N3"/>
    <mergeCell ref="O3:P3"/>
    <mergeCell ref="Q1:AF1"/>
    <mergeCell ref="R2:R3"/>
    <mergeCell ref="S2:U2"/>
    <mergeCell ref="W2:Y2"/>
    <mergeCell ref="Z2:AF2"/>
    <mergeCell ref="S3:T3"/>
    <mergeCell ref="U3:V3"/>
    <mergeCell ref="AY4:AZ4"/>
    <mergeCell ref="AS4:AT4"/>
    <mergeCell ref="AU4:AV4"/>
    <mergeCell ref="AI4:AJ4"/>
    <mergeCell ref="AK4:AL4"/>
    <mergeCell ref="AM4:AN4"/>
    <mergeCell ref="AO4:AP4"/>
    <mergeCell ref="AQ4:AR4"/>
    <mergeCell ref="AG1:AV1"/>
    <mergeCell ref="AH2:AH3"/>
    <mergeCell ref="AI2:AK2"/>
    <mergeCell ref="AM2:AO2"/>
    <mergeCell ref="AP2:AV2"/>
    <mergeCell ref="AI3:AJ3"/>
    <mergeCell ref="AK3:AL3"/>
    <mergeCell ref="AM3:AN3"/>
    <mergeCell ref="AO3:AP3"/>
    <mergeCell ref="AQ3:AR3"/>
    <mergeCell ref="AS3:AT3"/>
    <mergeCell ref="AU3:AV3"/>
    <mergeCell ref="AW1:BL1"/>
    <mergeCell ref="AX2:AX3"/>
    <mergeCell ref="AY2:BA2"/>
    <mergeCell ref="BC2:BE2"/>
    <mergeCell ref="BF2:BL2"/>
    <mergeCell ref="AY3:AZ3"/>
    <mergeCell ref="BA3:BB3"/>
    <mergeCell ref="BC3:BD3"/>
    <mergeCell ref="BE3:BF3"/>
    <mergeCell ref="BG3:BH3"/>
    <mergeCell ref="BI3:BJ3"/>
    <mergeCell ref="BK3:BL3"/>
    <mergeCell ref="BM1:CB1"/>
    <mergeCell ref="BN2:BN3"/>
    <mergeCell ref="BO2:BQ2"/>
    <mergeCell ref="BS2:BU2"/>
    <mergeCell ref="BV2:CB2"/>
    <mergeCell ref="BO3:BP3"/>
    <mergeCell ref="BQ3:BR3"/>
    <mergeCell ref="BS3:BT3"/>
    <mergeCell ref="BU3:BV3"/>
    <mergeCell ref="BW3:BX3"/>
    <mergeCell ref="BY3:BZ3"/>
    <mergeCell ref="CA3:CB3"/>
    <mergeCell ref="W9:Z9"/>
    <mergeCell ref="W10:X10"/>
    <mergeCell ref="BA4:BB4"/>
    <mergeCell ref="BC4:BD4"/>
    <mergeCell ref="BE4:BF4"/>
    <mergeCell ref="BY4:BZ4"/>
    <mergeCell ref="CA4:CB4"/>
    <mergeCell ref="BO4:BP4"/>
    <mergeCell ref="BQ4:BR4"/>
    <mergeCell ref="BS4:BT4"/>
    <mergeCell ref="BU4:BV4"/>
    <mergeCell ref="BW4:BX4"/>
    <mergeCell ref="BG4:BH4"/>
    <mergeCell ref="BI4:BJ4"/>
    <mergeCell ref="BK4:BL4"/>
  </mergeCells>
  <phoneticPr fontId="52" type="noConversion"/>
  <pageMargins left="0.70866141732283472" right="0.70866141732283472" top="0.74803149606299213" bottom="0.74803149606299213" header="0.31496062992125984" footer="0.31496062992125984"/>
  <pageSetup paperSize="9" scale="69" orientation="landscape" r:id="rId1"/>
  <headerFooter>
    <oddHeader>&amp;R&amp;"Calibri"&amp;10&amp;K000000 Público&amp;1#_x000D_</oddHeader>
    <oddFooter>&amp;L_x000D_&amp;1#&amp;"Calibri"&amp;10&amp;K000000 Público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86E0C-7B05-45C2-A89E-9CE633B66562}">
  <dimension ref="A1:L125"/>
  <sheetViews>
    <sheetView topLeftCell="A81" zoomScale="130" zoomScaleNormal="130" workbookViewId="0">
      <selection activeCell="C90" sqref="C90"/>
    </sheetView>
  </sheetViews>
  <sheetFormatPr baseColWidth="10" defaultColWidth="11.42578125" defaultRowHeight="15" x14ac:dyDescent="0.25"/>
  <cols>
    <col min="1" max="1" width="23.140625" customWidth="1"/>
    <col min="2" max="2" width="30.140625" customWidth="1"/>
    <col min="3" max="3" width="44.42578125" bestFit="1" customWidth="1"/>
  </cols>
  <sheetData>
    <row r="1" spans="1:7" ht="15.75" thickBot="1" x14ac:dyDescent="0.3">
      <c r="A1" s="992" t="s">
        <v>181</v>
      </c>
      <c r="B1" s="993"/>
    </row>
    <row r="2" spans="1:7" ht="15.75" thickBot="1" x14ac:dyDescent="0.3"/>
    <row r="3" spans="1:7" ht="15.75" thickBot="1" x14ac:dyDescent="0.3">
      <c r="A3" s="1147" t="s">
        <v>182</v>
      </c>
      <c r="B3" s="1008" t="s">
        <v>183</v>
      </c>
      <c r="C3" s="1148" t="s">
        <v>184</v>
      </c>
    </row>
    <row r="4" spans="1:7" x14ac:dyDescent="0.25">
      <c r="A4" s="1138" t="s">
        <v>185</v>
      </c>
      <c r="B4" s="1137" t="s">
        <v>186</v>
      </c>
      <c r="C4" s="1149" t="s">
        <v>187</v>
      </c>
    </row>
    <row r="5" spans="1:7" x14ac:dyDescent="0.25">
      <c r="A5" s="1140" t="s">
        <v>188</v>
      </c>
      <c r="B5" s="1141">
        <v>46081</v>
      </c>
      <c r="C5" s="1150" t="s">
        <v>189</v>
      </c>
    </row>
    <row r="6" spans="1:7" x14ac:dyDescent="0.25">
      <c r="A6" s="1140" t="s">
        <v>190</v>
      </c>
      <c r="B6" s="1141">
        <v>46080</v>
      </c>
      <c r="C6" s="1150" t="s">
        <v>191</v>
      </c>
    </row>
    <row r="7" spans="1:7" x14ac:dyDescent="0.25">
      <c r="A7" s="1140" t="s">
        <v>192</v>
      </c>
      <c r="B7" s="1142">
        <v>46082</v>
      </c>
      <c r="C7" s="1150" t="s">
        <v>191</v>
      </c>
    </row>
    <row r="8" spans="1:7" x14ac:dyDescent="0.25">
      <c r="A8" s="1140" t="s">
        <v>185</v>
      </c>
      <c r="B8" s="1141">
        <v>46088</v>
      </c>
      <c r="C8" s="1150" t="s">
        <v>191</v>
      </c>
    </row>
    <row r="9" spans="1:7" x14ac:dyDescent="0.25">
      <c r="A9" s="1153" t="s">
        <v>193</v>
      </c>
      <c r="B9" s="1154">
        <v>46093</v>
      </c>
      <c r="C9" s="1155" t="s">
        <v>191</v>
      </c>
    </row>
    <row r="10" spans="1:7" x14ac:dyDescent="0.25">
      <c r="A10" s="1153" t="s">
        <v>194</v>
      </c>
      <c r="B10" s="1154">
        <v>46093</v>
      </c>
      <c r="C10" s="1155" t="s">
        <v>191</v>
      </c>
    </row>
    <row r="11" spans="1:7" x14ac:dyDescent="0.25">
      <c r="A11" s="1153" t="s">
        <v>195</v>
      </c>
      <c r="B11" s="1154">
        <v>46094</v>
      </c>
      <c r="C11" s="1155" t="s">
        <v>191</v>
      </c>
      <c r="D11" s="45" t="s">
        <v>196</v>
      </c>
      <c r="E11" s="45"/>
      <c r="F11" s="45"/>
      <c r="G11" s="45"/>
    </row>
    <row r="12" spans="1:7" x14ac:dyDescent="0.25">
      <c r="A12" s="1156" t="s">
        <v>197</v>
      </c>
      <c r="B12" s="1157">
        <v>46102</v>
      </c>
      <c r="C12" s="1158" t="s">
        <v>191</v>
      </c>
    </row>
    <row r="13" spans="1:7" x14ac:dyDescent="0.25">
      <c r="A13" s="1156" t="s">
        <v>198</v>
      </c>
      <c r="B13" s="1157">
        <v>46102</v>
      </c>
      <c r="C13" s="1158" t="s">
        <v>164</v>
      </c>
    </row>
    <row r="14" spans="1:7" x14ac:dyDescent="0.25">
      <c r="A14" s="1156" t="s">
        <v>198</v>
      </c>
      <c r="B14" s="1157">
        <v>46103</v>
      </c>
      <c r="C14" s="1158" t="s">
        <v>191</v>
      </c>
    </row>
    <row r="15" spans="1:7" x14ac:dyDescent="0.25">
      <c r="A15" s="1161" t="s">
        <v>185</v>
      </c>
      <c r="B15" s="1162">
        <v>46109</v>
      </c>
      <c r="C15" s="1163" t="s">
        <v>191</v>
      </c>
    </row>
    <row r="16" spans="1:7" x14ac:dyDescent="0.25">
      <c r="A16" s="1161" t="s">
        <v>194</v>
      </c>
      <c r="B16" s="1162">
        <v>46100</v>
      </c>
      <c r="C16" s="1163" t="s">
        <v>191</v>
      </c>
    </row>
    <row r="17" spans="1:12" x14ac:dyDescent="0.25">
      <c r="A17" s="1156" t="s">
        <v>199</v>
      </c>
      <c r="B17" s="1109">
        <v>46108</v>
      </c>
      <c r="C17" s="1108" t="s">
        <v>191</v>
      </c>
    </row>
    <row r="18" spans="1:12" x14ac:dyDescent="0.25">
      <c r="B18" s="1108"/>
      <c r="C18" s="1108"/>
    </row>
    <row r="19" spans="1:12" x14ac:dyDescent="0.25">
      <c r="A19" s="1170" t="s">
        <v>200</v>
      </c>
      <c r="B19" s="1171">
        <v>46117</v>
      </c>
      <c r="C19" s="1172" t="s">
        <v>201</v>
      </c>
      <c r="D19" s="1170" t="s">
        <v>202</v>
      </c>
      <c r="E19" s="1170"/>
      <c r="F19" s="1170"/>
      <c r="G19" s="1170"/>
      <c r="H19" s="1170"/>
      <c r="I19" s="1170"/>
      <c r="J19" s="1170"/>
      <c r="K19" s="1170"/>
      <c r="L19" s="1170"/>
    </row>
    <row r="20" spans="1:12" s="1174" customFormat="1" x14ac:dyDescent="0.25">
      <c r="A20" s="1153" t="s">
        <v>203</v>
      </c>
      <c r="B20" s="1154">
        <v>46123</v>
      </c>
      <c r="C20" s="1155" t="s">
        <v>164</v>
      </c>
    </row>
    <row r="21" spans="1:12" s="1174" customFormat="1" x14ac:dyDescent="0.25">
      <c r="A21" s="1153" t="s">
        <v>190</v>
      </c>
      <c r="B21" s="1154">
        <v>46123</v>
      </c>
      <c r="C21" s="1155" t="s">
        <v>204</v>
      </c>
    </row>
    <row r="22" spans="1:12" s="1174" customFormat="1" x14ac:dyDescent="0.25">
      <c r="A22" s="1153" t="s">
        <v>203</v>
      </c>
      <c r="B22" s="1154">
        <v>46124</v>
      </c>
      <c r="C22" s="1155" t="s">
        <v>205</v>
      </c>
    </row>
    <row r="23" spans="1:12" s="1174" customFormat="1" x14ac:dyDescent="0.25">
      <c r="A23" s="873"/>
      <c r="B23" s="1109"/>
      <c r="C23" s="1108"/>
    </row>
    <row r="24" spans="1:12" x14ac:dyDescent="0.25">
      <c r="A24" s="873" t="s">
        <v>206</v>
      </c>
      <c r="B24" s="1109" t="s">
        <v>207</v>
      </c>
      <c r="C24" s="1108" t="s">
        <v>208</v>
      </c>
    </row>
    <row r="25" spans="1:12" x14ac:dyDescent="0.25">
      <c r="A25" s="874"/>
      <c r="B25" s="1108"/>
    </row>
    <row r="26" spans="1:12" x14ac:dyDescent="0.25">
      <c r="A26" s="1187" t="s">
        <v>197</v>
      </c>
      <c r="B26" s="1188">
        <v>46130</v>
      </c>
      <c r="C26" s="1189" t="s">
        <v>191</v>
      </c>
    </row>
    <row r="27" spans="1:12" x14ac:dyDescent="0.25">
      <c r="A27" s="1187" t="s">
        <v>203</v>
      </c>
      <c r="B27" s="1188">
        <v>46130</v>
      </c>
      <c r="C27" s="1189" t="s">
        <v>209</v>
      </c>
    </row>
    <row r="28" spans="1:12" x14ac:dyDescent="0.25">
      <c r="A28" s="1187" t="s">
        <v>210</v>
      </c>
      <c r="B28" s="1188">
        <v>46130</v>
      </c>
      <c r="C28" s="1189" t="s">
        <v>211</v>
      </c>
    </row>
    <row r="29" spans="1:12" x14ac:dyDescent="0.25">
      <c r="A29" s="1187" t="s">
        <v>203</v>
      </c>
      <c r="B29" s="1188">
        <v>46131</v>
      </c>
      <c r="C29" s="1189" t="s">
        <v>191</v>
      </c>
    </row>
    <row r="30" spans="1:12" x14ac:dyDescent="0.25">
      <c r="A30" s="1187" t="s">
        <v>200</v>
      </c>
      <c r="B30" s="1188">
        <v>46132</v>
      </c>
      <c r="C30" s="1189" t="s">
        <v>191</v>
      </c>
    </row>
    <row r="31" spans="1:12" x14ac:dyDescent="0.25">
      <c r="A31" s="1187" t="s">
        <v>203</v>
      </c>
      <c r="B31" s="1188">
        <v>46134</v>
      </c>
      <c r="C31" s="1189" t="s">
        <v>212</v>
      </c>
    </row>
    <row r="32" spans="1:12" x14ac:dyDescent="0.25">
      <c r="A32" s="873"/>
      <c r="B32" s="1109"/>
      <c r="C32" s="1108"/>
    </row>
    <row r="33" spans="1:3" x14ac:dyDescent="0.25">
      <c r="A33" s="1200" t="s">
        <v>197</v>
      </c>
      <c r="B33" s="1171">
        <v>46135</v>
      </c>
      <c r="C33" s="1172" t="s">
        <v>213</v>
      </c>
    </row>
    <row r="34" spans="1:3" x14ac:dyDescent="0.25">
      <c r="A34" s="1200" t="s">
        <v>197</v>
      </c>
      <c r="B34" s="1171">
        <v>46136</v>
      </c>
      <c r="C34" s="1172" t="s">
        <v>164</v>
      </c>
    </row>
    <row r="35" spans="1:3" x14ac:dyDescent="0.25">
      <c r="A35" s="1200" t="s">
        <v>190</v>
      </c>
      <c r="B35" s="1171">
        <v>46136</v>
      </c>
      <c r="C35" s="1172" t="s">
        <v>191</v>
      </c>
    </row>
    <row r="36" spans="1:3" x14ac:dyDescent="0.25">
      <c r="A36" s="1200" t="s">
        <v>190</v>
      </c>
      <c r="B36" s="1171">
        <v>46137</v>
      </c>
      <c r="C36" s="1172" t="s">
        <v>164</v>
      </c>
    </row>
    <row r="37" spans="1:3" x14ac:dyDescent="0.25">
      <c r="A37" s="1200" t="s">
        <v>203</v>
      </c>
      <c r="B37" s="1171">
        <v>46137</v>
      </c>
      <c r="C37" s="1172" t="s">
        <v>191</v>
      </c>
    </row>
    <row r="38" spans="1:3" x14ac:dyDescent="0.25">
      <c r="A38" s="1200" t="s">
        <v>198</v>
      </c>
      <c r="B38" s="1171">
        <v>46109</v>
      </c>
      <c r="C38" s="1172" t="s">
        <v>214</v>
      </c>
    </row>
    <row r="39" spans="1:3" x14ac:dyDescent="0.25">
      <c r="A39" s="1200" t="s">
        <v>190</v>
      </c>
      <c r="B39" s="1171">
        <v>46109</v>
      </c>
      <c r="C39" s="1172" t="s">
        <v>215</v>
      </c>
    </row>
    <row r="40" spans="1:3" x14ac:dyDescent="0.25">
      <c r="A40" s="873"/>
      <c r="B40" s="1109"/>
      <c r="C40" s="1108"/>
    </row>
    <row r="41" spans="1:3" x14ac:dyDescent="0.25">
      <c r="A41" s="1202" t="s">
        <v>108</v>
      </c>
      <c r="B41" s="1203">
        <v>46145</v>
      </c>
      <c r="C41" s="1204" t="s">
        <v>204</v>
      </c>
    </row>
    <row r="42" spans="1:3" x14ac:dyDescent="0.25">
      <c r="A42" s="5"/>
      <c r="B42" s="1205"/>
      <c r="C42" s="1206"/>
    </row>
    <row r="43" spans="1:3" x14ac:dyDescent="0.25">
      <c r="A43" s="443" t="s">
        <v>216</v>
      </c>
      <c r="B43" s="1141">
        <v>46149</v>
      </c>
      <c r="C43" s="1150" t="s">
        <v>191</v>
      </c>
    </row>
    <row r="44" spans="1:3" x14ac:dyDescent="0.25">
      <c r="A44" s="1150" t="s">
        <v>200</v>
      </c>
      <c r="B44" s="1209" t="s">
        <v>217</v>
      </c>
      <c r="C44" s="1150" t="s">
        <v>218</v>
      </c>
    </row>
    <row r="45" spans="1:3" x14ac:dyDescent="0.25">
      <c r="A45" s="1209" t="s">
        <v>190</v>
      </c>
      <c r="B45" s="1141">
        <v>46151</v>
      </c>
      <c r="C45" s="1150" t="s">
        <v>191</v>
      </c>
    </row>
    <row r="46" spans="1:3" x14ac:dyDescent="0.25">
      <c r="A46" s="1140" t="s">
        <v>219</v>
      </c>
      <c r="B46" s="1150" t="s">
        <v>220</v>
      </c>
      <c r="C46" s="1150" t="s">
        <v>221</v>
      </c>
    </row>
    <row r="47" spans="1:3" s="443" customFormat="1" x14ac:dyDescent="0.25">
      <c r="A47" s="1140" t="s">
        <v>222</v>
      </c>
      <c r="B47" s="1141">
        <v>46155</v>
      </c>
      <c r="C47" s="1150" t="s">
        <v>223</v>
      </c>
    </row>
    <row r="48" spans="1:3" x14ac:dyDescent="0.25">
      <c r="A48" s="1211"/>
      <c r="B48" s="1206"/>
      <c r="C48" s="1206"/>
    </row>
    <row r="49" spans="1:3" x14ac:dyDescent="0.25">
      <c r="A49" s="1216" t="s">
        <v>206</v>
      </c>
      <c r="B49" s="1162">
        <v>46159</v>
      </c>
      <c r="C49" s="1163" t="s">
        <v>191</v>
      </c>
    </row>
    <row r="50" spans="1:3" x14ac:dyDescent="0.25">
      <c r="A50" s="1217" t="s">
        <v>206</v>
      </c>
      <c r="B50" s="1217">
        <v>46161</v>
      </c>
      <c r="C50" s="1163" t="s">
        <v>191</v>
      </c>
    </row>
    <row r="51" spans="1:3" x14ac:dyDescent="0.25">
      <c r="A51" s="1218" t="s">
        <v>224</v>
      </c>
      <c r="B51" s="1219">
        <v>46158</v>
      </c>
      <c r="C51" s="1218" t="s">
        <v>225</v>
      </c>
    </row>
    <row r="52" spans="1:3" x14ac:dyDescent="0.25">
      <c r="A52" s="5"/>
      <c r="B52" s="1228"/>
      <c r="C52" s="5"/>
    </row>
    <row r="53" spans="1:3" x14ac:dyDescent="0.25">
      <c r="A53" s="737" t="s">
        <v>200</v>
      </c>
      <c r="B53" s="1188">
        <v>46164</v>
      </c>
      <c r="C53" s="1189" t="s">
        <v>191</v>
      </c>
    </row>
    <row r="54" spans="1:3" x14ac:dyDescent="0.25">
      <c r="A54" s="737" t="s">
        <v>226</v>
      </c>
      <c r="B54" s="1188">
        <v>46166</v>
      </c>
      <c r="C54" s="1189" t="s">
        <v>227</v>
      </c>
    </row>
    <row r="55" spans="1:3" x14ac:dyDescent="0.25">
      <c r="A55" s="1254" t="s">
        <v>228</v>
      </c>
      <c r="B55" s="1255">
        <v>46165</v>
      </c>
      <c r="C55" s="1254" t="s">
        <v>209</v>
      </c>
    </row>
    <row r="56" spans="1:3" x14ac:dyDescent="0.25">
      <c r="A56" s="1254" t="s">
        <v>228</v>
      </c>
      <c r="B56" s="1255">
        <v>46166</v>
      </c>
      <c r="C56" s="1254" t="s">
        <v>229</v>
      </c>
    </row>
    <row r="57" spans="1:3" x14ac:dyDescent="0.25">
      <c r="A57" s="737" t="s">
        <v>200</v>
      </c>
      <c r="B57" s="1188">
        <v>46167</v>
      </c>
      <c r="C57" s="1189" t="s">
        <v>57</v>
      </c>
    </row>
    <row r="58" spans="1:3" x14ac:dyDescent="0.25">
      <c r="A58" s="737" t="s">
        <v>185</v>
      </c>
      <c r="B58" s="1253">
        <v>46167</v>
      </c>
      <c r="C58" s="737" t="s">
        <v>191</v>
      </c>
    </row>
    <row r="59" spans="1:3" x14ac:dyDescent="0.25">
      <c r="A59" s="5"/>
      <c r="B59" s="1228"/>
      <c r="C59" s="5"/>
    </row>
    <row r="60" spans="1:3" x14ac:dyDescent="0.25">
      <c r="A60" s="1170" t="s">
        <v>185</v>
      </c>
      <c r="B60" s="1256">
        <v>46170</v>
      </c>
      <c r="C60" s="1170" t="s">
        <v>230</v>
      </c>
    </row>
    <row r="61" spans="1:3" x14ac:dyDescent="0.25">
      <c r="A61" s="1200" t="s">
        <v>185</v>
      </c>
      <c r="B61" s="1171">
        <v>46172</v>
      </c>
      <c r="C61" s="1172" t="s">
        <v>56</v>
      </c>
    </row>
    <row r="62" spans="1:3" x14ac:dyDescent="0.25">
      <c r="A62" s="1200" t="s">
        <v>185</v>
      </c>
      <c r="B62" s="1171">
        <v>46173</v>
      </c>
      <c r="C62" s="1172" t="s">
        <v>56</v>
      </c>
    </row>
    <row r="63" spans="1:3" x14ac:dyDescent="0.25">
      <c r="A63" s="1257" t="s">
        <v>231</v>
      </c>
      <c r="B63" s="1258">
        <v>46173</v>
      </c>
      <c r="C63" s="1257" t="s">
        <v>57</v>
      </c>
    </row>
    <row r="64" spans="1:3" x14ac:dyDescent="0.25">
      <c r="A64" s="5"/>
      <c r="B64" s="1228"/>
      <c r="C64" s="5"/>
    </row>
    <row r="65" spans="1:3" x14ac:dyDescent="0.25">
      <c r="A65" s="230" t="s">
        <v>190</v>
      </c>
      <c r="B65" s="1263">
        <v>46178</v>
      </c>
      <c r="C65" s="230" t="s">
        <v>164</v>
      </c>
    </row>
    <row r="66" spans="1:3" x14ac:dyDescent="0.25">
      <c r="A66" s="230" t="s">
        <v>197</v>
      </c>
      <c r="B66" s="1263">
        <v>46179</v>
      </c>
      <c r="C66" s="230" t="s">
        <v>191</v>
      </c>
    </row>
    <row r="67" spans="1:3" x14ac:dyDescent="0.25">
      <c r="A67" s="1264" t="s">
        <v>232</v>
      </c>
      <c r="B67" s="1265">
        <v>46179</v>
      </c>
      <c r="C67" s="1266" t="s">
        <v>233</v>
      </c>
    </row>
    <row r="68" spans="1:3" x14ac:dyDescent="0.25">
      <c r="A68" s="230" t="s">
        <v>194</v>
      </c>
      <c r="B68" s="1263">
        <v>46179</v>
      </c>
      <c r="C68" s="230" t="s">
        <v>233</v>
      </c>
    </row>
    <row r="69" spans="1:3" x14ac:dyDescent="0.25">
      <c r="A69" s="1267" t="s">
        <v>216</v>
      </c>
      <c r="B69" s="1268">
        <v>46180</v>
      </c>
      <c r="C69" s="1267" t="s">
        <v>164</v>
      </c>
    </row>
    <row r="70" spans="1:3" x14ac:dyDescent="0.25">
      <c r="A70" s="230" t="s">
        <v>194</v>
      </c>
      <c r="B70" s="1263">
        <v>46180</v>
      </c>
      <c r="C70" s="230" t="s">
        <v>191</v>
      </c>
    </row>
    <row r="72" spans="1:3" x14ac:dyDescent="0.25">
      <c r="A72" s="1170" t="s">
        <v>195</v>
      </c>
      <c r="B72" s="1256">
        <v>46187</v>
      </c>
      <c r="C72" s="1170" t="s">
        <v>209</v>
      </c>
    </row>
    <row r="75" spans="1:3" x14ac:dyDescent="0.25">
      <c r="A75" s="233" t="s">
        <v>234</v>
      </c>
      <c r="B75" s="233" t="s">
        <v>235</v>
      </c>
      <c r="C75" s="233" t="s">
        <v>236</v>
      </c>
    </row>
    <row r="76" spans="1:3" x14ac:dyDescent="0.25">
      <c r="A76" s="233" t="s">
        <v>237</v>
      </c>
      <c r="B76" s="1300">
        <v>46192</v>
      </c>
      <c r="C76" s="233" t="s">
        <v>238</v>
      </c>
    </row>
    <row r="77" spans="1:3" x14ac:dyDescent="0.25">
      <c r="A77" s="233" t="s">
        <v>237</v>
      </c>
      <c r="B77" s="1300">
        <v>46194</v>
      </c>
      <c r="C77" s="233" t="s">
        <v>239</v>
      </c>
    </row>
    <row r="78" spans="1:3" x14ac:dyDescent="0.25">
      <c r="A78" s="5"/>
      <c r="B78" s="709"/>
      <c r="C78" s="5"/>
    </row>
    <row r="79" spans="1:3" x14ac:dyDescent="0.25">
      <c r="A79" s="1436" t="s">
        <v>206</v>
      </c>
      <c r="B79" s="1437">
        <v>46205</v>
      </c>
      <c r="C79" s="1436" t="s">
        <v>191</v>
      </c>
    </row>
    <row r="80" spans="1:3" x14ac:dyDescent="0.25">
      <c r="A80" s="1436" t="s">
        <v>226</v>
      </c>
      <c r="B80" s="1437">
        <v>46208</v>
      </c>
      <c r="C80" s="1436" t="s">
        <v>191</v>
      </c>
    </row>
    <row r="81" spans="1:3" x14ac:dyDescent="0.25">
      <c r="A81" s="1202" t="s">
        <v>185</v>
      </c>
      <c r="B81" s="1203">
        <v>46207</v>
      </c>
      <c r="C81" s="1204" t="s">
        <v>191</v>
      </c>
    </row>
    <row r="82" spans="1:3" x14ac:dyDescent="0.25">
      <c r="A82" s="873"/>
      <c r="B82" s="1108"/>
      <c r="C82" s="1108"/>
    </row>
    <row r="83" spans="1:3" x14ac:dyDescent="0.25">
      <c r="A83" s="1647" t="s">
        <v>240</v>
      </c>
      <c r="B83" s="1648">
        <v>46214</v>
      </c>
      <c r="C83" s="1649" t="s">
        <v>241</v>
      </c>
    </row>
    <row r="84" spans="1:3" x14ac:dyDescent="0.25">
      <c r="A84" s="1647" t="s">
        <v>242</v>
      </c>
      <c r="B84" s="1648">
        <v>46215</v>
      </c>
      <c r="C84" s="1649" t="s">
        <v>243</v>
      </c>
    </row>
    <row r="85" spans="1:3" x14ac:dyDescent="0.25">
      <c r="A85" s="873"/>
      <c r="B85" s="1109"/>
      <c r="C85" s="1108"/>
    </row>
    <row r="86" spans="1:3" x14ac:dyDescent="0.25">
      <c r="A86" s="873" t="s">
        <v>234</v>
      </c>
      <c r="B86" s="1109">
        <v>46234</v>
      </c>
      <c r="C86" s="1108" t="s">
        <v>56</v>
      </c>
    </row>
    <row r="87" spans="1:3" x14ac:dyDescent="0.25">
      <c r="A87" s="1646" t="s">
        <v>244</v>
      </c>
      <c r="B87" s="709">
        <v>46247</v>
      </c>
      <c r="C87" s="1108" t="s">
        <v>191</v>
      </c>
    </row>
    <row r="88" spans="1:3" x14ac:dyDescent="0.25">
      <c r="A88" s="1513" t="s">
        <v>234</v>
      </c>
      <c r="B88" s="1514">
        <v>46235</v>
      </c>
      <c r="C88" s="1515" t="s">
        <v>191</v>
      </c>
    </row>
    <row r="89" spans="1:3" x14ac:dyDescent="0.25">
      <c r="A89" s="1646" t="s">
        <v>245</v>
      </c>
      <c r="B89" s="1702">
        <v>46233</v>
      </c>
      <c r="C89" s="1515" t="s">
        <v>191</v>
      </c>
    </row>
    <row r="90" spans="1:3" x14ac:dyDescent="0.25">
      <c r="A90" s="1646"/>
      <c r="B90" s="709"/>
      <c r="C90" s="1108"/>
    </row>
    <row r="91" spans="1:3" x14ac:dyDescent="0.25">
      <c r="A91" s="1513"/>
      <c r="B91" s="1109"/>
      <c r="C91" s="1108"/>
    </row>
    <row r="92" spans="1:3" x14ac:dyDescent="0.25">
      <c r="A92" s="1646"/>
      <c r="B92" s="709"/>
      <c r="C92" s="1108"/>
    </row>
    <row r="95" spans="1:3" x14ac:dyDescent="0.25">
      <c r="A95" s="1513" t="s">
        <v>150</v>
      </c>
      <c r="B95" s="1514">
        <v>46219</v>
      </c>
      <c r="C95" s="1108" t="s">
        <v>167</v>
      </c>
    </row>
    <row r="96" spans="1:3" x14ac:dyDescent="0.25">
      <c r="A96" s="1513" t="s">
        <v>150</v>
      </c>
      <c r="B96" s="1109">
        <v>46220</v>
      </c>
      <c r="C96" s="1108" t="s">
        <v>167</v>
      </c>
    </row>
    <row r="97" spans="1:3" x14ac:dyDescent="0.25">
      <c r="A97" s="1229" t="s">
        <v>246</v>
      </c>
      <c r="B97" s="1230" t="s">
        <v>247</v>
      </c>
      <c r="C97" s="1230" t="s">
        <v>248</v>
      </c>
    </row>
    <row r="98" spans="1:3" x14ac:dyDescent="0.25">
      <c r="A98" s="1229" t="s">
        <v>249</v>
      </c>
      <c r="B98" s="1230" t="s">
        <v>250</v>
      </c>
      <c r="C98" s="1230" t="s">
        <v>218</v>
      </c>
    </row>
    <row r="99" spans="1:3" x14ac:dyDescent="0.25">
      <c r="A99" s="873" t="s">
        <v>251</v>
      </c>
      <c r="B99" s="1109">
        <v>46170</v>
      </c>
      <c r="C99" s="1108" t="s">
        <v>218</v>
      </c>
    </row>
    <row r="100" spans="1:3" x14ac:dyDescent="0.25">
      <c r="A100" s="1250"/>
      <c r="B100" s="1251"/>
      <c r="C100" s="1252"/>
    </row>
    <row r="101" spans="1:3" x14ac:dyDescent="0.25">
      <c r="A101" s="1250" t="s">
        <v>249</v>
      </c>
      <c r="B101" s="1251">
        <v>46179</v>
      </c>
      <c r="C101" s="1252" t="s">
        <v>191</v>
      </c>
    </row>
    <row r="102" spans="1:3" x14ac:dyDescent="0.25">
      <c r="A102" s="1250"/>
      <c r="B102" s="1251"/>
      <c r="C102" s="1252"/>
    </row>
    <row r="103" spans="1:3" x14ac:dyDescent="0.25">
      <c r="A103" s="873"/>
      <c r="B103" s="1109"/>
      <c r="C103" s="1108"/>
    </row>
    <row r="104" spans="1:3" x14ac:dyDescent="0.25">
      <c r="A104" s="873" t="s">
        <v>252</v>
      </c>
      <c r="B104" s="1108" t="s">
        <v>253</v>
      </c>
      <c r="C104" s="1108" t="s">
        <v>164</v>
      </c>
    </row>
    <row r="105" spans="1:3" x14ac:dyDescent="0.25">
      <c r="A105" s="873"/>
      <c r="B105" s="1108"/>
      <c r="C105" s="1108"/>
    </row>
    <row r="106" spans="1:3" x14ac:dyDescent="0.25">
      <c r="A106" s="873"/>
      <c r="B106" s="1108"/>
      <c r="C106" s="1108"/>
    </row>
    <row r="107" spans="1:3" x14ac:dyDescent="0.25">
      <c r="A107" s="873"/>
      <c r="B107" s="1108"/>
      <c r="C107" s="1108"/>
    </row>
    <row r="108" spans="1:3" x14ac:dyDescent="0.25">
      <c r="A108" s="873"/>
      <c r="B108" s="1108"/>
      <c r="C108" s="1108"/>
    </row>
    <row r="109" spans="1:3" x14ac:dyDescent="0.25">
      <c r="A109" s="873"/>
      <c r="B109" s="1109"/>
      <c r="C109" s="1151"/>
    </row>
    <row r="110" spans="1:3" x14ac:dyDescent="0.25">
      <c r="A110" s="873"/>
      <c r="B110" s="1109"/>
      <c r="C110" s="1108"/>
    </row>
    <row r="111" spans="1:3" x14ac:dyDescent="0.25">
      <c r="A111" s="873"/>
      <c r="B111" s="1108"/>
      <c r="C111" s="1108"/>
    </row>
    <row r="112" spans="1:3" x14ac:dyDescent="0.25">
      <c r="A112" s="873"/>
      <c r="B112" s="1108"/>
      <c r="C112" s="1108"/>
    </row>
    <row r="113" spans="1:3" x14ac:dyDescent="0.25">
      <c r="A113" s="873"/>
      <c r="B113" s="1108"/>
      <c r="C113" s="1108"/>
    </row>
    <row r="114" spans="1:3" x14ac:dyDescent="0.25">
      <c r="A114" s="873"/>
      <c r="B114" s="1108"/>
      <c r="C114" s="1108"/>
    </row>
    <row r="115" spans="1:3" x14ac:dyDescent="0.25">
      <c r="A115" s="873"/>
      <c r="B115" s="1109"/>
      <c r="C115" s="1108"/>
    </row>
    <row r="116" spans="1:3" x14ac:dyDescent="0.25">
      <c r="A116" s="873"/>
      <c r="B116" s="1109"/>
      <c r="C116" s="1108"/>
    </row>
    <row r="117" spans="1:3" x14ac:dyDescent="0.25">
      <c r="A117" s="873"/>
      <c r="B117" s="1109"/>
      <c r="C117" s="1108"/>
    </row>
    <row r="118" spans="1:3" x14ac:dyDescent="0.25">
      <c r="A118" s="873"/>
      <c r="B118" s="1109"/>
      <c r="C118" s="1108"/>
    </row>
    <row r="119" spans="1:3" x14ac:dyDescent="0.25">
      <c r="A119" s="873"/>
      <c r="B119" s="1109"/>
      <c r="C119" s="1108"/>
    </row>
    <row r="120" spans="1:3" x14ac:dyDescent="0.25">
      <c r="A120" s="873"/>
      <c r="B120" s="1109"/>
      <c r="C120" s="1108"/>
    </row>
    <row r="121" spans="1:3" x14ac:dyDescent="0.25">
      <c r="A121" s="873"/>
      <c r="B121" s="1109"/>
      <c r="C121" s="1151"/>
    </row>
    <row r="122" spans="1:3" x14ac:dyDescent="0.25">
      <c r="A122" s="873"/>
      <c r="B122" s="1109"/>
      <c r="C122" s="1108"/>
    </row>
    <row r="123" spans="1:3" x14ac:dyDescent="0.25">
      <c r="A123" s="873"/>
      <c r="B123" s="1109"/>
      <c r="C123" s="1108"/>
    </row>
    <row r="124" spans="1:3" x14ac:dyDescent="0.25">
      <c r="A124" s="873"/>
      <c r="B124" s="1109"/>
      <c r="C124" s="1108"/>
    </row>
    <row r="125" spans="1:3" ht="15.75" thickBot="1" x14ac:dyDescent="0.3">
      <c r="A125" s="875"/>
      <c r="B125" s="1139"/>
      <c r="C125" s="1152"/>
    </row>
  </sheetData>
  <phoneticPr fontId="52" type="noConversion"/>
  <pageMargins left="0.7" right="0.7" top="0.75" bottom="0.75" header="0.3" footer="0.3"/>
  <headerFooter>
    <oddHeader>&amp;R&amp;"Calibri"&amp;10&amp;K000000 Público&amp;1#_x000D_</oddHeader>
    <oddFooter>&amp;L_x000D_&amp;1#&amp;"Calibri"&amp;10&amp;K000000 Público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A18B6-A511-48F6-BB4B-6E78A61AD2B8}">
  <sheetPr>
    <pageSetUpPr fitToPage="1"/>
  </sheetPr>
  <dimension ref="A1:CC78"/>
  <sheetViews>
    <sheetView topLeftCell="M1" zoomScale="80" zoomScaleNormal="80" workbookViewId="0">
      <selection activeCell="S16" sqref="S16"/>
    </sheetView>
  </sheetViews>
  <sheetFormatPr baseColWidth="10" defaultColWidth="11.42578125" defaultRowHeight="15" x14ac:dyDescent="0.25"/>
  <cols>
    <col min="1" max="1" width="23.85546875" customWidth="1"/>
    <col min="2" max="4" width="8.5703125" customWidth="1"/>
    <col min="5" max="5" width="8.42578125" customWidth="1"/>
    <col min="6" max="12" width="8.5703125" customWidth="1"/>
    <col min="13" max="13" width="8.42578125" customWidth="1"/>
    <col min="14" max="14" width="8.5703125" customWidth="1"/>
    <col min="15" max="15" width="8.7109375" customWidth="1"/>
    <col min="16" max="16" width="8.42578125" customWidth="1"/>
    <col min="17" max="17" width="23.85546875" customWidth="1"/>
    <col min="18" max="18" width="7.5703125" customWidth="1"/>
    <col min="19" max="19" width="9.42578125" customWidth="1"/>
    <col min="20" max="20" width="8.7109375" customWidth="1"/>
    <col min="21" max="22" width="8.42578125" customWidth="1"/>
    <col min="23" max="24" width="8.5703125" customWidth="1"/>
    <col min="25" max="28" width="8.7109375" customWidth="1"/>
    <col min="29" max="32" width="8.5703125" customWidth="1"/>
    <col min="33" max="33" width="24" customWidth="1"/>
    <col min="34" max="34" width="7.42578125" customWidth="1"/>
    <col min="35" max="42" width="8.5703125" customWidth="1"/>
    <col min="43" max="43" width="8.42578125" customWidth="1"/>
    <col min="44" max="44" width="8.5703125" customWidth="1"/>
    <col min="45" max="45" width="8.85546875" customWidth="1"/>
    <col min="46" max="46" width="9" customWidth="1"/>
    <col min="47" max="48" width="8.5703125" customWidth="1"/>
    <col min="49" max="49" width="23.85546875" bestFit="1" customWidth="1"/>
    <col min="50" max="50" width="7.7109375" customWidth="1"/>
    <col min="51" max="64" width="8.5703125" customWidth="1"/>
    <col min="65" max="65" width="23.85546875" customWidth="1"/>
    <col min="66" max="66" width="7.7109375" customWidth="1"/>
    <col min="67" max="80" width="8.5703125" customWidth="1"/>
    <col min="88" max="88" width="0" hidden="1" customWidth="1"/>
  </cols>
  <sheetData>
    <row r="1" spans="1:81" ht="19.5" thickBot="1" x14ac:dyDescent="0.35">
      <c r="A1" s="2118" t="s">
        <v>1</v>
      </c>
      <c r="B1" s="2118"/>
      <c r="C1" s="2118"/>
      <c r="D1" s="2118"/>
      <c r="E1" s="2118"/>
      <c r="F1" s="2118"/>
      <c r="G1" s="2118"/>
      <c r="H1" s="2118"/>
      <c r="I1" s="2118"/>
      <c r="J1" s="2118"/>
      <c r="K1" s="2118"/>
      <c r="L1" s="2118"/>
      <c r="M1" s="2118"/>
      <c r="N1" s="2118"/>
      <c r="O1" s="2118"/>
      <c r="P1" s="2118"/>
      <c r="Q1" s="2130" t="s">
        <v>0</v>
      </c>
      <c r="R1" s="2130"/>
      <c r="S1" s="2130"/>
      <c r="T1" s="2130"/>
      <c r="U1" s="2130"/>
      <c r="V1" s="2130"/>
      <c r="W1" s="2130"/>
      <c r="X1" s="2130"/>
      <c r="Y1" s="2130"/>
      <c r="Z1" s="2130"/>
      <c r="AA1" s="2130"/>
      <c r="AB1" s="2130"/>
      <c r="AC1" s="2130"/>
      <c r="AD1" s="2130"/>
      <c r="AE1" s="2130"/>
      <c r="AF1" s="2130"/>
      <c r="AG1" s="2117" t="s">
        <v>0</v>
      </c>
      <c r="AH1" s="2117"/>
      <c r="AI1" s="2118"/>
      <c r="AJ1" s="2118"/>
      <c r="AK1" s="2118"/>
      <c r="AL1" s="2118"/>
      <c r="AM1" s="2118"/>
      <c r="AN1" s="2118"/>
      <c r="AO1" s="2118"/>
      <c r="AP1" s="2118"/>
      <c r="AQ1" s="2118"/>
      <c r="AR1" s="2118"/>
      <c r="AS1" s="2118"/>
      <c r="AT1" s="2118"/>
      <c r="AU1" s="2118"/>
      <c r="AV1" s="2291"/>
      <c r="AW1" s="2118" t="s">
        <v>0</v>
      </c>
      <c r="AX1" s="2118"/>
      <c r="AY1" s="2118"/>
      <c r="AZ1" s="2118"/>
      <c r="BA1" s="2118"/>
      <c r="BB1" s="2118"/>
      <c r="BC1" s="2118"/>
      <c r="BD1" s="2118"/>
      <c r="BE1" s="2118"/>
      <c r="BF1" s="2118"/>
      <c r="BG1" s="2118"/>
      <c r="BH1" s="2118"/>
      <c r="BI1" s="2118"/>
      <c r="BJ1" s="2118"/>
      <c r="BK1" s="2118"/>
      <c r="BL1" s="2118"/>
      <c r="BM1" s="2117" t="s">
        <v>0</v>
      </c>
      <c r="BN1" s="2117"/>
      <c r="BO1" s="2117"/>
      <c r="BP1" s="2117"/>
      <c r="BQ1" s="2117"/>
      <c r="BR1" s="2117"/>
      <c r="BS1" s="2117"/>
      <c r="BT1" s="2117"/>
      <c r="BU1" s="2117"/>
      <c r="BV1" s="2117"/>
      <c r="BW1" s="2117"/>
      <c r="BX1" s="2117"/>
      <c r="BY1" s="2117"/>
      <c r="BZ1" s="2117"/>
      <c r="CA1" s="2117"/>
      <c r="CB1" s="2117"/>
    </row>
    <row r="2" spans="1:81" ht="19.5" thickBot="1" x14ac:dyDescent="0.35">
      <c r="A2" s="21" t="s">
        <v>2</v>
      </c>
      <c r="B2" s="2119"/>
      <c r="C2" s="2120"/>
      <c r="D2" s="2120"/>
      <c r="E2" s="2120"/>
      <c r="F2" s="14"/>
      <c r="G2" s="2120"/>
      <c r="H2" s="2120"/>
      <c r="I2" s="2120"/>
      <c r="J2" s="2122" t="s">
        <v>254</v>
      </c>
      <c r="K2" s="2122"/>
      <c r="L2" s="2122"/>
      <c r="M2" s="2122"/>
      <c r="N2" s="2122"/>
      <c r="O2" s="2122"/>
      <c r="P2" s="2122"/>
      <c r="Q2" s="510" t="s">
        <v>5</v>
      </c>
      <c r="R2" s="2119"/>
      <c r="S2" s="2143">
        <v>44994</v>
      </c>
      <c r="T2" s="2143"/>
      <c r="U2" s="2143"/>
      <c r="V2" s="22" t="s">
        <v>6</v>
      </c>
      <c r="W2" s="2143">
        <v>45000</v>
      </c>
      <c r="X2" s="2143"/>
      <c r="Y2" s="2143"/>
      <c r="Z2" s="2146" t="s">
        <v>254</v>
      </c>
      <c r="AA2" s="2146"/>
      <c r="AB2" s="2146"/>
      <c r="AC2" s="2146"/>
      <c r="AD2" s="2146"/>
      <c r="AE2" s="2146"/>
      <c r="AF2" s="2146"/>
      <c r="AG2" s="511" t="s">
        <v>87</v>
      </c>
      <c r="AH2" s="2119"/>
      <c r="AI2" s="2132">
        <v>45001</v>
      </c>
      <c r="AJ2" s="2132"/>
      <c r="AK2" s="2132"/>
      <c r="AL2" s="22" t="s">
        <v>6</v>
      </c>
      <c r="AM2" s="2132">
        <v>45007</v>
      </c>
      <c r="AN2" s="2132"/>
      <c r="AO2" s="2120"/>
      <c r="AP2" s="2122" t="s">
        <v>254</v>
      </c>
      <c r="AQ2" s="2122"/>
      <c r="AR2" s="2122"/>
      <c r="AS2" s="2146"/>
      <c r="AT2" s="2146"/>
      <c r="AU2" s="2146"/>
      <c r="AV2" s="2293"/>
      <c r="AW2" s="21" t="s">
        <v>88</v>
      </c>
      <c r="AX2" s="2119"/>
      <c r="AY2" s="2120">
        <v>45008</v>
      </c>
      <c r="AZ2" s="2120"/>
      <c r="BA2" s="2120"/>
      <c r="BB2" s="22" t="s">
        <v>6</v>
      </c>
      <c r="BC2" s="2132">
        <v>44986</v>
      </c>
      <c r="BD2" s="2132"/>
      <c r="BE2" s="2132"/>
      <c r="BF2" s="2122" t="s">
        <v>8</v>
      </c>
      <c r="BG2" s="2122"/>
      <c r="BH2" s="2122"/>
      <c r="BI2" s="2122"/>
      <c r="BJ2" s="2122"/>
      <c r="BK2" s="2122"/>
      <c r="BL2" s="2122"/>
      <c r="BM2" s="18" t="s">
        <v>7</v>
      </c>
      <c r="BN2" s="2119"/>
      <c r="BO2" s="2132">
        <v>44952</v>
      </c>
      <c r="BP2" s="2132"/>
      <c r="BQ2" s="2132"/>
      <c r="BR2" s="22" t="s">
        <v>6</v>
      </c>
      <c r="BS2" s="2132">
        <v>44958</v>
      </c>
      <c r="BT2" s="2132"/>
      <c r="BU2" s="2132"/>
      <c r="BV2" s="2122" t="s">
        <v>8</v>
      </c>
      <c r="BW2" s="2122"/>
      <c r="BX2" s="2122"/>
      <c r="BY2" s="2122"/>
      <c r="BZ2" s="2122"/>
      <c r="CA2" s="2122"/>
      <c r="CB2" s="2122"/>
    </row>
    <row r="3" spans="1:81" ht="19.5" thickBot="1" x14ac:dyDescent="0.35">
      <c r="A3" s="15"/>
      <c r="B3" s="2119"/>
      <c r="C3" s="2292" t="s">
        <v>9</v>
      </c>
      <c r="D3" s="2292"/>
      <c r="E3" s="2134" t="s">
        <v>10</v>
      </c>
      <c r="F3" s="2134"/>
      <c r="G3" s="2134" t="s">
        <v>11</v>
      </c>
      <c r="H3" s="2134"/>
      <c r="I3" s="2113" t="s">
        <v>12</v>
      </c>
      <c r="J3" s="2113"/>
      <c r="K3" s="2114" t="s">
        <v>13</v>
      </c>
      <c r="L3" s="2114"/>
      <c r="M3" s="2139" t="s">
        <v>14</v>
      </c>
      <c r="N3" s="2139"/>
      <c r="O3" s="2138" t="s">
        <v>15</v>
      </c>
      <c r="P3" s="2138"/>
      <c r="Q3" s="15"/>
      <c r="R3" s="2119"/>
      <c r="S3" s="2122" t="s">
        <v>9</v>
      </c>
      <c r="T3" s="2122"/>
      <c r="U3" s="2122" t="s">
        <v>10</v>
      </c>
      <c r="V3" s="2122"/>
      <c r="W3" s="2289" t="s">
        <v>11</v>
      </c>
      <c r="X3" s="2289"/>
      <c r="Y3" s="2127" t="s">
        <v>12</v>
      </c>
      <c r="Z3" s="2127"/>
      <c r="AA3" s="2127" t="s">
        <v>13</v>
      </c>
      <c r="AB3" s="2127"/>
      <c r="AC3" s="2288" t="s">
        <v>14</v>
      </c>
      <c r="AD3" s="2288"/>
      <c r="AE3" s="2115" t="s">
        <v>15</v>
      </c>
      <c r="AF3" s="2115"/>
      <c r="AG3" s="17"/>
      <c r="AH3" s="2119"/>
      <c r="AI3" s="2134" t="s">
        <v>9</v>
      </c>
      <c r="AJ3" s="2127"/>
      <c r="AK3" s="2134" t="s">
        <v>10</v>
      </c>
      <c r="AL3" s="2294"/>
      <c r="AM3" s="2134" t="s">
        <v>11</v>
      </c>
      <c r="AN3" s="2294"/>
      <c r="AO3" s="2134" t="s">
        <v>12</v>
      </c>
      <c r="AP3" s="2295"/>
      <c r="AQ3" s="2292" t="s">
        <v>13</v>
      </c>
      <c r="AR3" s="2296"/>
      <c r="AS3" s="2134" t="s">
        <v>14</v>
      </c>
      <c r="AT3" s="2295"/>
      <c r="AU3" s="2139" t="s">
        <v>15</v>
      </c>
      <c r="AV3" s="2297"/>
      <c r="AW3" s="17"/>
      <c r="AX3" s="2119"/>
      <c r="AY3" s="2134" t="s">
        <v>9</v>
      </c>
      <c r="AZ3" s="2134"/>
      <c r="BA3" s="2134" t="s">
        <v>10</v>
      </c>
      <c r="BB3" s="2134"/>
      <c r="BC3" s="2134" t="s">
        <v>11</v>
      </c>
      <c r="BD3" s="2134"/>
      <c r="BE3" s="2157" t="s">
        <v>12</v>
      </c>
      <c r="BF3" s="2157"/>
      <c r="BG3" s="2134" t="s">
        <v>13</v>
      </c>
      <c r="BH3" s="2134"/>
      <c r="BI3" s="2139" t="s">
        <v>14</v>
      </c>
      <c r="BJ3" s="2139"/>
      <c r="BK3" s="2300" t="s">
        <v>15</v>
      </c>
      <c r="BL3" s="2300"/>
      <c r="BM3" s="17"/>
      <c r="BN3" s="2119"/>
      <c r="BO3" s="2134" t="s">
        <v>9</v>
      </c>
      <c r="BP3" s="2134"/>
      <c r="BQ3" s="2134" t="s">
        <v>10</v>
      </c>
      <c r="BR3" s="2134"/>
      <c r="BS3" s="2134" t="s">
        <v>11</v>
      </c>
      <c r="BT3" s="2134"/>
      <c r="BU3" s="2157" t="s">
        <v>12</v>
      </c>
      <c r="BV3" s="2157"/>
      <c r="BW3" s="2139" t="s">
        <v>13</v>
      </c>
      <c r="BX3" s="2139"/>
      <c r="BY3" s="2138" t="s">
        <v>14</v>
      </c>
      <c r="BZ3" s="2138"/>
      <c r="CA3" s="2139" t="s">
        <v>15</v>
      </c>
      <c r="CB3" s="2139"/>
    </row>
    <row r="4" spans="1:81" ht="19.5" thickBot="1" x14ac:dyDescent="0.35">
      <c r="A4" s="20" t="s">
        <v>16</v>
      </c>
      <c r="B4" s="16" t="s">
        <v>17</v>
      </c>
      <c r="C4" s="2149">
        <v>44987</v>
      </c>
      <c r="D4" s="2149"/>
      <c r="E4" s="2149">
        <v>44988</v>
      </c>
      <c r="F4" s="2149"/>
      <c r="G4" s="2149">
        <v>44989</v>
      </c>
      <c r="H4" s="2149"/>
      <c r="I4" s="2149">
        <v>44990</v>
      </c>
      <c r="J4" s="2149"/>
      <c r="K4" s="2149">
        <v>44991</v>
      </c>
      <c r="L4" s="2149"/>
      <c r="M4" s="2149">
        <v>44992</v>
      </c>
      <c r="N4" s="2149"/>
      <c r="O4" s="2149">
        <v>44993</v>
      </c>
      <c r="P4" s="2149"/>
      <c r="Q4" s="490" t="s">
        <v>16</v>
      </c>
      <c r="R4" s="348" t="s">
        <v>17</v>
      </c>
      <c r="S4" s="2137">
        <v>44994</v>
      </c>
      <c r="T4" s="2137"/>
      <c r="U4" s="2137">
        <v>44995</v>
      </c>
      <c r="V4" s="2137"/>
      <c r="W4" s="2137">
        <v>44996</v>
      </c>
      <c r="X4" s="2137"/>
      <c r="Y4" s="2287">
        <v>44997</v>
      </c>
      <c r="Z4" s="2287"/>
      <c r="AA4" s="2287">
        <v>44998</v>
      </c>
      <c r="AB4" s="2287"/>
      <c r="AC4" s="2286">
        <v>44999</v>
      </c>
      <c r="AD4" s="2286"/>
      <c r="AE4" s="2287">
        <v>45000</v>
      </c>
      <c r="AF4" s="2287"/>
      <c r="AG4" s="490" t="s">
        <v>16</v>
      </c>
      <c r="AH4" s="454" t="s">
        <v>17</v>
      </c>
      <c r="AI4" s="2149">
        <v>45001</v>
      </c>
      <c r="AJ4" s="2298"/>
      <c r="AK4" s="2149">
        <v>45002</v>
      </c>
      <c r="AL4" s="2298"/>
      <c r="AM4" s="2149">
        <v>45003</v>
      </c>
      <c r="AN4" s="2298"/>
      <c r="AO4" s="2149">
        <v>45004</v>
      </c>
      <c r="AP4" s="2298"/>
      <c r="AQ4" s="2151">
        <v>45005</v>
      </c>
      <c r="AR4" s="2299"/>
      <c r="AS4" s="2151">
        <v>45006</v>
      </c>
      <c r="AT4" s="2299"/>
      <c r="AU4" s="2149">
        <v>45007</v>
      </c>
      <c r="AV4" s="2298"/>
      <c r="AW4" s="19" t="s">
        <v>16</v>
      </c>
      <c r="AX4" s="16" t="s">
        <v>17</v>
      </c>
      <c r="AY4" s="2149">
        <v>45008</v>
      </c>
      <c r="AZ4" s="2149"/>
      <c r="BA4" s="2149">
        <v>45009</v>
      </c>
      <c r="BB4" s="2149"/>
      <c r="BC4" s="2149">
        <v>45010</v>
      </c>
      <c r="BD4" s="2149"/>
      <c r="BE4" s="2149">
        <v>45011</v>
      </c>
      <c r="BF4" s="2149"/>
      <c r="BG4" s="2149">
        <v>45012</v>
      </c>
      <c r="BH4" s="2149"/>
      <c r="BI4" s="2149">
        <v>45013</v>
      </c>
      <c r="BJ4" s="2149"/>
      <c r="BK4" s="2149">
        <v>45014</v>
      </c>
      <c r="BL4" s="2149"/>
      <c r="BM4" s="19" t="s">
        <v>16</v>
      </c>
      <c r="BN4" s="16" t="s">
        <v>17</v>
      </c>
      <c r="BO4" s="2149">
        <v>45015</v>
      </c>
      <c r="BP4" s="2149"/>
      <c r="BQ4" s="2149">
        <v>45016</v>
      </c>
      <c r="BR4" s="2149"/>
      <c r="BS4" s="2302">
        <v>45017</v>
      </c>
      <c r="BT4" s="2302"/>
      <c r="BU4" s="2302">
        <v>45018</v>
      </c>
      <c r="BV4" s="2302"/>
      <c r="BW4" s="2149">
        <v>45019</v>
      </c>
      <c r="BX4" s="2149"/>
      <c r="BY4" s="2301">
        <v>45020</v>
      </c>
      <c r="BZ4" s="2301"/>
      <c r="CA4" s="2301">
        <v>45021</v>
      </c>
      <c r="CB4" s="2301"/>
    </row>
    <row r="5" spans="1:81" ht="18.75" x14ac:dyDescent="0.25">
      <c r="A5" s="31" t="s">
        <v>18</v>
      </c>
      <c r="B5" s="263" t="s">
        <v>19</v>
      </c>
      <c r="C5" s="172">
        <v>0.6875</v>
      </c>
      <c r="D5" s="140">
        <v>0</v>
      </c>
      <c r="E5" s="140">
        <v>0.6875</v>
      </c>
      <c r="F5" s="140">
        <v>0</v>
      </c>
      <c r="G5" s="140">
        <v>0.6875</v>
      </c>
      <c r="H5" s="140">
        <v>0</v>
      </c>
      <c r="I5" s="253"/>
      <c r="J5" s="239"/>
      <c r="K5" s="93">
        <v>0.60416666666666663</v>
      </c>
      <c r="L5" s="93">
        <v>0.92708333333333337</v>
      </c>
      <c r="M5" s="93">
        <v>0.60416666666666663</v>
      </c>
      <c r="N5" s="93">
        <v>0.92708333333333337</v>
      </c>
      <c r="O5" s="93">
        <v>0.6875</v>
      </c>
      <c r="P5" s="153">
        <v>0</v>
      </c>
      <c r="Q5" s="360" t="s">
        <v>18</v>
      </c>
      <c r="R5" s="361" t="s">
        <v>19</v>
      </c>
      <c r="S5" s="354">
        <v>0.6875</v>
      </c>
      <c r="T5" s="206">
        <v>0</v>
      </c>
      <c r="U5" s="320">
        <v>0.6875</v>
      </c>
      <c r="V5" s="321">
        <v>0</v>
      </c>
      <c r="W5" s="320">
        <v>0.6875</v>
      </c>
      <c r="X5" s="321">
        <v>0</v>
      </c>
      <c r="Y5" s="320">
        <v>0.6875</v>
      </c>
      <c r="Z5" s="206">
        <v>0</v>
      </c>
      <c r="AA5" s="387"/>
      <c r="AB5" s="346"/>
      <c r="AC5" s="384"/>
      <c r="AD5" s="402"/>
      <c r="AE5" s="320">
        <v>0.6875</v>
      </c>
      <c r="AF5" s="321">
        <v>0</v>
      </c>
      <c r="AG5" s="480" t="s">
        <v>18</v>
      </c>
      <c r="AH5" s="481" t="s">
        <v>19</v>
      </c>
      <c r="AI5" s="320">
        <v>0.6875</v>
      </c>
      <c r="AJ5" s="321">
        <v>0</v>
      </c>
      <c r="AK5" s="320">
        <v>0.58333333333333337</v>
      </c>
      <c r="AL5" s="321">
        <v>0.90972222222222221</v>
      </c>
      <c r="AM5" s="320">
        <v>0.6875</v>
      </c>
      <c r="AN5" s="321">
        <v>0</v>
      </c>
      <c r="AO5" s="458">
        <v>0.66666666666666663</v>
      </c>
      <c r="AP5" s="459">
        <v>0.97916666666666663</v>
      </c>
      <c r="AQ5" s="141">
        <v>0.6875</v>
      </c>
      <c r="AR5" s="173">
        <v>0</v>
      </c>
      <c r="AS5" s="419"/>
      <c r="AT5" s="420"/>
      <c r="AU5" s="345">
        <v>0.75</v>
      </c>
      <c r="AV5" s="457">
        <v>4.1666666666666664E-2</v>
      </c>
      <c r="AW5" s="101" t="s">
        <v>18</v>
      </c>
      <c r="AX5" s="32" t="s">
        <v>19</v>
      </c>
      <c r="AY5" s="254"/>
      <c r="AZ5" s="255"/>
      <c r="BA5" s="140"/>
      <c r="BB5" s="140"/>
      <c r="BC5" s="253"/>
      <c r="BD5" s="253"/>
      <c r="BE5" s="140"/>
      <c r="BF5" s="173"/>
      <c r="BG5" s="141"/>
      <c r="BH5" s="140"/>
      <c r="BI5" s="142"/>
      <c r="BJ5" s="142"/>
      <c r="BK5" s="142"/>
      <c r="BL5" s="174"/>
      <c r="BM5" s="41" t="s">
        <v>18</v>
      </c>
      <c r="BN5" s="46" t="s">
        <v>19</v>
      </c>
      <c r="BO5" s="141"/>
      <c r="BP5" s="140"/>
      <c r="BQ5" s="253"/>
      <c r="BR5" s="253"/>
      <c r="BS5" s="140"/>
      <c r="BT5" s="140"/>
      <c r="BU5" s="140"/>
      <c r="BV5" s="188"/>
      <c r="BW5" s="172"/>
      <c r="BX5" s="140"/>
      <c r="BY5" s="158"/>
      <c r="BZ5" s="158"/>
      <c r="CA5" s="158"/>
      <c r="CB5" s="206"/>
      <c r="CC5" s="209" t="s">
        <v>22</v>
      </c>
    </row>
    <row r="6" spans="1:81" ht="18.75" x14ac:dyDescent="0.25">
      <c r="A6" s="33" t="s">
        <v>21</v>
      </c>
      <c r="B6" s="264" t="s">
        <v>19</v>
      </c>
      <c r="C6" s="113">
        <v>0.41666666666666669</v>
      </c>
      <c r="D6" s="93">
        <v>0.75</v>
      </c>
      <c r="E6" s="247"/>
      <c r="F6" s="247"/>
      <c r="G6" s="93">
        <v>0.41666666666666669</v>
      </c>
      <c r="H6" s="93">
        <v>0.75</v>
      </c>
      <c r="I6" s="93">
        <v>0.41666666666666669</v>
      </c>
      <c r="J6" s="100">
        <v>0.75</v>
      </c>
      <c r="K6" s="241">
        <v>0.41666666666666669</v>
      </c>
      <c r="L6" s="268">
        <v>0.75</v>
      </c>
      <c r="M6" s="93">
        <v>0.41666666666666669</v>
      </c>
      <c r="N6" s="93">
        <v>0.75</v>
      </c>
      <c r="O6" s="93">
        <v>0.41666666666666669</v>
      </c>
      <c r="P6" s="153">
        <v>0.75</v>
      </c>
      <c r="Q6" s="362" t="s">
        <v>21</v>
      </c>
      <c r="R6" s="363" t="s">
        <v>19</v>
      </c>
      <c r="S6" s="112">
        <v>0.41666666666666669</v>
      </c>
      <c r="T6" s="153">
        <v>0.75</v>
      </c>
      <c r="U6" s="342"/>
      <c r="V6" s="382"/>
      <c r="W6" s="113">
        <v>0.41666666666666669</v>
      </c>
      <c r="X6" s="100">
        <v>0.75</v>
      </c>
      <c r="Y6" s="113">
        <v>0.41666666666666669</v>
      </c>
      <c r="Z6" s="153">
        <v>0.75</v>
      </c>
      <c r="AA6" s="113">
        <v>0.41666666666666669</v>
      </c>
      <c r="AB6" s="100">
        <v>0.75</v>
      </c>
      <c r="AC6" s="112">
        <v>0.41666666666666669</v>
      </c>
      <c r="AD6" s="153">
        <v>0.75</v>
      </c>
      <c r="AE6" s="113">
        <v>0.41666666666666669</v>
      </c>
      <c r="AF6" s="100">
        <v>0.75</v>
      </c>
      <c r="AG6" s="482" t="s">
        <v>21</v>
      </c>
      <c r="AH6" s="483" t="s">
        <v>19</v>
      </c>
      <c r="AI6" s="113">
        <v>0.41666666666666669</v>
      </c>
      <c r="AJ6" s="100">
        <v>0.75</v>
      </c>
      <c r="AK6" s="326"/>
      <c r="AL6" s="424"/>
      <c r="AM6" s="326"/>
      <c r="AN6" s="424"/>
      <c r="AO6" s="113">
        <v>0.41666666666666669</v>
      </c>
      <c r="AP6" s="100">
        <v>0.75</v>
      </c>
      <c r="AQ6" s="112">
        <v>0.41666666666666669</v>
      </c>
      <c r="AR6" s="100">
        <v>0.75</v>
      </c>
      <c r="AS6" s="113">
        <v>0.41666666666666669</v>
      </c>
      <c r="AT6" s="100">
        <v>0.75</v>
      </c>
      <c r="AU6" s="113">
        <v>0.41666666666666669</v>
      </c>
      <c r="AV6" s="100">
        <v>0.75</v>
      </c>
      <c r="AW6" s="102" t="s">
        <v>21</v>
      </c>
      <c r="AX6" s="34" t="s">
        <v>19</v>
      </c>
      <c r="AY6" s="175"/>
      <c r="AZ6" s="176"/>
      <c r="BA6" s="150"/>
      <c r="BB6" s="150"/>
      <c r="BC6" s="93"/>
      <c r="BD6" s="100"/>
      <c r="BE6" s="311"/>
      <c r="BF6" s="312"/>
      <c r="BG6" s="112"/>
      <c r="BH6" s="93"/>
      <c r="BI6" s="111"/>
      <c r="BJ6" s="111"/>
      <c r="BK6" s="111"/>
      <c r="BL6" s="177"/>
      <c r="BM6" s="42" t="s">
        <v>21</v>
      </c>
      <c r="BN6" s="47" t="s">
        <v>19</v>
      </c>
      <c r="BO6" s="250"/>
      <c r="BP6" s="247"/>
      <c r="BQ6" s="93"/>
      <c r="BR6" s="93"/>
      <c r="BS6" s="93"/>
      <c r="BT6" s="93"/>
      <c r="BU6" s="93"/>
      <c r="BV6" s="153"/>
      <c r="BW6" s="113"/>
      <c r="BX6" s="93"/>
      <c r="BY6" s="93"/>
      <c r="BZ6" s="93"/>
      <c r="CA6" s="93"/>
      <c r="CB6" s="153"/>
      <c r="CC6" s="210"/>
    </row>
    <row r="7" spans="1:81" ht="21" x14ac:dyDescent="0.35">
      <c r="A7" s="33" t="s">
        <v>24</v>
      </c>
      <c r="B7" s="264" t="s">
        <v>19</v>
      </c>
      <c r="C7" s="244"/>
      <c r="D7" s="247"/>
      <c r="E7" s="113">
        <v>0.58333333333333337</v>
      </c>
      <c r="F7" s="93">
        <v>0.90972222222222221</v>
      </c>
      <c r="G7" s="113">
        <v>0.58333333333333337</v>
      </c>
      <c r="H7" s="93">
        <v>0.90972222222222221</v>
      </c>
      <c r="I7" s="93">
        <v>0.5</v>
      </c>
      <c r="J7" s="100">
        <v>0.83333333333333337</v>
      </c>
      <c r="K7" s="93">
        <v>0.6875</v>
      </c>
      <c r="L7" s="93">
        <v>0</v>
      </c>
      <c r="M7" s="93">
        <v>0.6875</v>
      </c>
      <c r="N7" s="93">
        <v>0</v>
      </c>
      <c r="O7" s="93">
        <v>0.6875</v>
      </c>
      <c r="P7" s="153">
        <v>0</v>
      </c>
      <c r="Q7" s="362" t="s">
        <v>24</v>
      </c>
      <c r="R7" s="363" t="s">
        <v>19</v>
      </c>
      <c r="S7" s="407">
        <v>0.52083333333333337</v>
      </c>
      <c r="T7" s="408">
        <v>0.85416666666666663</v>
      </c>
      <c r="U7" s="113">
        <v>0.6875</v>
      </c>
      <c r="V7" s="100">
        <v>0</v>
      </c>
      <c r="W7" s="342"/>
      <c r="X7" s="382"/>
      <c r="Y7" s="342"/>
      <c r="Z7" s="339"/>
      <c r="AA7" s="113">
        <v>0.6875</v>
      </c>
      <c r="AB7" s="100">
        <v>0</v>
      </c>
      <c r="AC7" s="112">
        <v>0.6875</v>
      </c>
      <c r="AD7" s="153">
        <v>0</v>
      </c>
      <c r="AE7" s="521">
        <v>0.70833333333333337</v>
      </c>
      <c r="AF7" s="522" t="s">
        <v>255</v>
      </c>
      <c r="AG7" s="482" t="s">
        <v>24</v>
      </c>
      <c r="AH7" s="483" t="s">
        <v>19</v>
      </c>
      <c r="AI7" s="329"/>
      <c r="AJ7" s="426"/>
      <c r="AK7" s="113">
        <v>0.66666666666666663</v>
      </c>
      <c r="AL7" s="100">
        <v>0.97916666666666663</v>
      </c>
      <c r="AM7" s="113">
        <v>0.5</v>
      </c>
      <c r="AN7" s="100">
        <v>0.83333333333333337</v>
      </c>
      <c r="AO7" s="154"/>
      <c r="AP7" s="143"/>
      <c r="AQ7" s="164"/>
      <c r="AR7" s="143"/>
      <c r="AS7" s="154"/>
      <c r="AT7" s="143"/>
      <c r="AU7" s="154"/>
      <c r="AV7" s="143"/>
      <c r="AW7" s="102" t="s">
        <v>24</v>
      </c>
      <c r="AX7" s="34" t="s">
        <v>19</v>
      </c>
      <c r="AY7" s="251"/>
      <c r="AZ7" s="252"/>
      <c r="BA7" s="178"/>
      <c r="BB7" s="178"/>
      <c r="BC7" s="178"/>
      <c r="BD7" s="178"/>
      <c r="BE7" s="178"/>
      <c r="BF7" s="179"/>
      <c r="BG7" s="164"/>
      <c r="BH7" s="114"/>
      <c r="BI7" s="114"/>
      <c r="BJ7" s="114"/>
      <c r="BK7" s="114"/>
      <c r="BL7" s="180"/>
      <c r="BM7" s="42" t="s">
        <v>24</v>
      </c>
      <c r="BN7" s="47" t="s">
        <v>19</v>
      </c>
      <c r="BO7" s="112"/>
      <c r="BP7" s="93"/>
      <c r="BQ7" s="247"/>
      <c r="BR7" s="247"/>
      <c r="BS7" s="93"/>
      <c r="BT7" s="93"/>
      <c r="BU7" s="93"/>
      <c r="BV7" s="153"/>
      <c r="BW7" s="113"/>
      <c r="BX7" s="93"/>
      <c r="BY7" s="93"/>
      <c r="BZ7" s="93"/>
      <c r="CA7" s="93"/>
      <c r="CB7" s="153"/>
      <c r="CC7" s="210"/>
    </row>
    <row r="8" spans="1:81" ht="17.25" customHeight="1" x14ac:dyDescent="0.3">
      <c r="A8" s="33" t="s">
        <v>27</v>
      </c>
      <c r="B8" s="264" t="s">
        <v>19</v>
      </c>
      <c r="C8" s="276">
        <v>0.75</v>
      </c>
      <c r="D8" s="269">
        <v>4.1666666666666664E-2</v>
      </c>
      <c r="E8" s="247"/>
      <c r="F8" s="247"/>
      <c r="G8" s="270">
        <v>0.5</v>
      </c>
      <c r="H8" s="270">
        <v>0.83333333333333337</v>
      </c>
      <c r="I8" s="274">
        <v>0.75</v>
      </c>
      <c r="J8" s="274">
        <v>4.1666666666666664E-2</v>
      </c>
      <c r="K8" s="93">
        <v>0.6875</v>
      </c>
      <c r="L8" s="93">
        <v>0</v>
      </c>
      <c r="M8" s="93">
        <v>0.6875</v>
      </c>
      <c r="N8" s="93">
        <v>0</v>
      </c>
      <c r="O8" s="93">
        <v>0.6875</v>
      </c>
      <c r="P8" s="153">
        <v>0</v>
      </c>
      <c r="Q8" s="362" t="s">
        <v>27</v>
      </c>
      <c r="R8" s="363" t="s">
        <v>19</v>
      </c>
      <c r="S8" s="355">
        <v>0.6875</v>
      </c>
      <c r="T8" s="393">
        <v>0</v>
      </c>
      <c r="U8" s="396">
        <v>0.75</v>
      </c>
      <c r="V8" s="397">
        <v>4.1666666666666664E-2</v>
      </c>
      <c r="W8" s="343"/>
      <c r="X8" s="383"/>
      <c r="Y8" s="343"/>
      <c r="Z8" s="340"/>
      <c r="AA8" s="113">
        <v>0.6875</v>
      </c>
      <c r="AB8" s="100">
        <v>0</v>
      </c>
      <c r="AC8" s="112">
        <v>0.6875</v>
      </c>
      <c r="AD8" s="153">
        <v>0</v>
      </c>
      <c r="AE8" s="398">
        <v>0.6875</v>
      </c>
      <c r="AF8" s="322">
        <v>0</v>
      </c>
      <c r="AG8" s="482" t="s">
        <v>27</v>
      </c>
      <c r="AH8" s="483" t="s">
        <v>19</v>
      </c>
      <c r="AI8" s="468">
        <v>0.75</v>
      </c>
      <c r="AJ8" s="469">
        <v>4.1666666666666664E-2</v>
      </c>
      <c r="AK8" s="148">
        <v>0.6875</v>
      </c>
      <c r="AL8" s="160">
        <v>0</v>
      </c>
      <c r="AM8" s="148">
        <v>0.6875</v>
      </c>
      <c r="AN8" s="160">
        <v>0</v>
      </c>
      <c r="AO8" s="148"/>
      <c r="AP8" s="160"/>
      <c r="AQ8" s="112"/>
      <c r="AR8" s="100"/>
      <c r="AS8" s="113"/>
      <c r="AT8" s="100"/>
      <c r="AU8" s="113"/>
      <c r="AV8" s="100"/>
      <c r="AW8" s="102" t="s">
        <v>27</v>
      </c>
      <c r="AX8" s="34" t="s">
        <v>19</v>
      </c>
      <c r="AY8" s="113"/>
      <c r="AZ8" s="93"/>
      <c r="BA8" s="114"/>
      <c r="BB8" s="114"/>
      <c r="BC8" s="93"/>
      <c r="BD8" s="93"/>
      <c r="BE8" s="111"/>
      <c r="BF8" s="181"/>
      <c r="BG8" s="112"/>
      <c r="BH8" s="93"/>
      <c r="BI8" s="111"/>
      <c r="BJ8" s="111"/>
      <c r="BK8" s="111"/>
      <c r="BL8" s="177"/>
      <c r="BM8" s="42" t="s">
        <v>27</v>
      </c>
      <c r="BN8" s="47" t="s">
        <v>19</v>
      </c>
      <c r="BO8" s="112"/>
      <c r="BP8" s="93"/>
      <c r="BQ8" s="93"/>
      <c r="BR8" s="93"/>
      <c r="BS8" s="93"/>
      <c r="BT8" s="93"/>
      <c r="BU8" s="93"/>
      <c r="BV8" s="153"/>
      <c r="BW8" s="113"/>
      <c r="BX8" s="93"/>
      <c r="BY8" s="93"/>
      <c r="BZ8" s="93"/>
      <c r="CA8" s="93"/>
      <c r="CB8" s="153"/>
      <c r="CC8" s="210"/>
    </row>
    <row r="9" spans="1:81" ht="18.75" x14ac:dyDescent="0.25">
      <c r="A9" s="33" t="s">
        <v>28</v>
      </c>
      <c r="B9" s="264" t="s">
        <v>19</v>
      </c>
      <c r="C9" s="260">
        <v>0.5</v>
      </c>
      <c r="D9" s="270">
        <v>0.83333333333333337</v>
      </c>
      <c r="E9" s="260">
        <v>0.5</v>
      </c>
      <c r="F9" s="270">
        <v>0.83333333333333337</v>
      </c>
      <c r="G9" s="93">
        <v>0.52083333333333337</v>
      </c>
      <c r="H9" s="93">
        <v>0.85416666666666663</v>
      </c>
      <c r="I9" s="247"/>
      <c r="J9" s="245"/>
      <c r="K9" s="93">
        <v>0.58333333333333337</v>
      </c>
      <c r="L9" s="93">
        <v>0.90972222222222221</v>
      </c>
      <c r="M9" s="271">
        <v>0.75</v>
      </c>
      <c r="N9" s="271">
        <v>4.1666666666666664E-2</v>
      </c>
      <c r="O9" s="93">
        <v>0.6875</v>
      </c>
      <c r="P9" s="153">
        <v>0</v>
      </c>
      <c r="Q9" s="362" t="s">
        <v>28</v>
      </c>
      <c r="R9" s="363" t="s">
        <v>19</v>
      </c>
      <c r="S9" s="112">
        <v>0.6875</v>
      </c>
      <c r="T9" s="153">
        <v>0</v>
      </c>
      <c r="U9" s="244"/>
      <c r="V9" s="245"/>
      <c r="W9" s="342">
        <v>0.5</v>
      </c>
      <c r="X9" s="382">
        <v>0.83333333333333337</v>
      </c>
      <c r="Y9" s="467"/>
      <c r="Z9" s="512"/>
      <c r="AA9" s="313" t="s">
        <v>132</v>
      </c>
      <c r="AB9" s="323" t="s">
        <v>132</v>
      </c>
      <c r="AC9" s="356" t="s">
        <v>132</v>
      </c>
      <c r="AD9" s="341" t="s">
        <v>132</v>
      </c>
      <c r="AE9" s="313" t="s">
        <v>132</v>
      </c>
      <c r="AF9" s="323" t="s">
        <v>132</v>
      </c>
      <c r="AG9" s="482" t="s">
        <v>28</v>
      </c>
      <c r="AH9" s="483" t="s">
        <v>19</v>
      </c>
      <c r="AI9" s="313" t="s">
        <v>132</v>
      </c>
      <c r="AJ9" s="323" t="s">
        <v>132</v>
      </c>
      <c r="AK9" s="313" t="s">
        <v>132</v>
      </c>
      <c r="AL9" s="323" t="s">
        <v>132</v>
      </c>
      <c r="AM9" s="313" t="s">
        <v>132</v>
      </c>
      <c r="AN9" s="323" t="s">
        <v>132</v>
      </c>
      <c r="AO9" s="313" t="s">
        <v>132</v>
      </c>
      <c r="AP9" s="323" t="s">
        <v>132</v>
      </c>
      <c r="AQ9" s="356" t="s">
        <v>132</v>
      </c>
      <c r="AR9" s="323" t="s">
        <v>132</v>
      </c>
      <c r="AS9" s="313" t="s">
        <v>132</v>
      </c>
      <c r="AT9" s="323" t="s">
        <v>132</v>
      </c>
      <c r="AU9" s="313" t="s">
        <v>132</v>
      </c>
      <c r="AV9" s="323" t="s">
        <v>132</v>
      </c>
      <c r="AW9" s="102" t="s">
        <v>28</v>
      </c>
      <c r="AX9" s="34" t="s">
        <v>19</v>
      </c>
      <c r="AY9" s="243" t="s">
        <v>132</v>
      </c>
      <c r="AZ9" s="243" t="s">
        <v>132</v>
      </c>
      <c r="BA9" s="243" t="s">
        <v>132</v>
      </c>
      <c r="BB9" s="243" t="s">
        <v>132</v>
      </c>
      <c r="BC9" s="243" t="s">
        <v>132</v>
      </c>
      <c r="BD9" s="243" t="s">
        <v>132</v>
      </c>
      <c r="BE9" s="243" t="s">
        <v>132</v>
      </c>
      <c r="BF9" s="243" t="s">
        <v>132</v>
      </c>
      <c r="BG9" s="291"/>
      <c r="BH9" s="292"/>
      <c r="BI9" s="290"/>
      <c r="BJ9" s="290"/>
      <c r="BK9" s="111"/>
      <c r="BL9" s="177"/>
      <c r="BM9" s="42" t="s">
        <v>28</v>
      </c>
      <c r="BN9" s="47" t="s">
        <v>19</v>
      </c>
      <c r="BO9" s="112"/>
      <c r="BP9" s="93"/>
      <c r="BQ9" s="301"/>
      <c r="BR9" s="301"/>
      <c r="BS9" s="93"/>
      <c r="BT9" s="93"/>
      <c r="BU9" s="93"/>
      <c r="BV9" s="153"/>
      <c r="BW9" s="113"/>
      <c r="BX9" s="93"/>
      <c r="BY9" s="93"/>
      <c r="BZ9" s="93"/>
      <c r="CA9" s="93"/>
      <c r="CB9" s="153"/>
      <c r="CC9" s="210"/>
    </row>
    <row r="10" spans="1:81" ht="18.75" x14ac:dyDescent="0.25">
      <c r="A10" s="33" t="s">
        <v>30</v>
      </c>
      <c r="B10" s="264" t="s">
        <v>19</v>
      </c>
      <c r="C10" s="113">
        <v>0.58333333333333337</v>
      </c>
      <c r="D10" s="93">
        <v>0.90972222222222221</v>
      </c>
      <c r="E10" s="93">
        <v>0.60416666666666663</v>
      </c>
      <c r="F10" s="93">
        <v>0.92708333333333337</v>
      </c>
      <c r="G10" s="247"/>
      <c r="H10" s="247"/>
      <c r="I10" s="113">
        <v>0.58333333333333337</v>
      </c>
      <c r="J10" s="93">
        <v>0.90972222222222221</v>
      </c>
      <c r="K10" s="112">
        <v>0.6875</v>
      </c>
      <c r="L10" s="93">
        <v>0</v>
      </c>
      <c r="M10" s="93">
        <v>0.58333333333333337</v>
      </c>
      <c r="N10" s="93">
        <v>0.90972222222222221</v>
      </c>
      <c r="O10" s="93">
        <v>0.58333333333333337</v>
      </c>
      <c r="P10" s="153">
        <v>0.90972222222222221</v>
      </c>
      <c r="Q10" s="362" t="s">
        <v>30</v>
      </c>
      <c r="R10" s="363" t="s">
        <v>19</v>
      </c>
      <c r="S10" s="240"/>
      <c r="T10" s="394"/>
      <c r="U10" s="413">
        <v>0.58333333333333337</v>
      </c>
      <c r="V10" s="414">
        <v>0.90972222222222221</v>
      </c>
      <c r="W10" s="113">
        <v>0.58333333333333337</v>
      </c>
      <c r="X10" s="100">
        <v>0.90972222222222221</v>
      </c>
      <c r="Y10" s="342">
        <v>0.6875</v>
      </c>
      <c r="Z10" s="339">
        <v>0</v>
      </c>
      <c r="AA10" s="413">
        <v>0.58333333333333337</v>
      </c>
      <c r="AB10" s="414">
        <v>0.90972222222222221</v>
      </c>
      <c r="AC10" s="411">
        <v>0.58333333333333337</v>
      </c>
      <c r="AD10" s="412">
        <v>0.90972222222222221</v>
      </c>
      <c r="AE10" s="413">
        <v>0.58333333333333337</v>
      </c>
      <c r="AF10" s="414">
        <v>0.90972222222222221</v>
      </c>
      <c r="AG10" s="482" t="s">
        <v>30</v>
      </c>
      <c r="AH10" s="483" t="s">
        <v>19</v>
      </c>
      <c r="AI10" s="319"/>
      <c r="AJ10" s="425"/>
      <c r="AK10" s="319"/>
      <c r="AL10" s="425"/>
      <c r="AM10" s="500">
        <v>0.54166666666666663</v>
      </c>
      <c r="AN10" s="501">
        <v>0.875</v>
      </c>
      <c r="AO10" s="455">
        <v>0.75</v>
      </c>
      <c r="AP10" s="456">
        <v>4.1666666666666664E-2</v>
      </c>
      <c r="AQ10" s="112">
        <v>0.6875</v>
      </c>
      <c r="AR10" s="100">
        <v>0</v>
      </c>
      <c r="AS10" s="113">
        <v>0.6875</v>
      </c>
      <c r="AT10" s="100">
        <v>0</v>
      </c>
      <c r="AU10" s="113">
        <v>0.6875</v>
      </c>
      <c r="AV10" s="100">
        <v>0</v>
      </c>
      <c r="AW10" s="102" t="s">
        <v>30</v>
      </c>
      <c r="AX10" s="34" t="s">
        <v>19</v>
      </c>
      <c r="AY10" s="154"/>
      <c r="AZ10" s="114"/>
      <c r="BA10" s="327"/>
      <c r="BB10" s="327"/>
      <c r="BC10" s="114"/>
      <c r="BD10" s="114"/>
      <c r="BE10" s="114"/>
      <c r="BF10" s="143"/>
      <c r="BG10" s="164"/>
      <c r="BH10" s="114"/>
      <c r="BI10" s="155"/>
      <c r="BJ10" s="155"/>
      <c r="BK10" s="155"/>
      <c r="BL10" s="182"/>
      <c r="BM10" s="42" t="s">
        <v>30</v>
      </c>
      <c r="BN10" s="47" t="s">
        <v>19</v>
      </c>
      <c r="BO10" s="164"/>
      <c r="BP10" s="114"/>
      <c r="BQ10" s="114"/>
      <c r="BR10" s="114"/>
      <c r="BS10" s="114"/>
      <c r="BT10" s="114"/>
      <c r="BU10" s="114"/>
      <c r="BV10" s="165"/>
      <c r="BW10" s="154"/>
      <c r="BX10" s="114"/>
      <c r="BY10" s="114"/>
      <c r="BZ10" s="114"/>
      <c r="CA10" s="93"/>
      <c r="CB10" s="153"/>
      <c r="CC10" s="210"/>
    </row>
    <row r="11" spans="1:81" ht="18.75" x14ac:dyDescent="0.25">
      <c r="A11" s="35" t="s">
        <v>31</v>
      </c>
      <c r="B11" s="265" t="s">
        <v>19</v>
      </c>
      <c r="C11" s="236" t="s">
        <v>132</v>
      </c>
      <c r="D11" s="234" t="s">
        <v>132</v>
      </c>
      <c r="E11" s="234" t="s">
        <v>132</v>
      </c>
      <c r="F11" s="234" t="s">
        <v>132</v>
      </c>
      <c r="G11" s="234" t="s">
        <v>132</v>
      </c>
      <c r="H11" s="234" t="s">
        <v>132</v>
      </c>
      <c r="I11" s="234" t="s">
        <v>132</v>
      </c>
      <c r="J11" s="237" t="s">
        <v>132</v>
      </c>
      <c r="K11" s="238" t="s">
        <v>132</v>
      </c>
      <c r="L11" s="234" t="s">
        <v>132</v>
      </c>
      <c r="M11" s="234" t="s">
        <v>132</v>
      </c>
      <c r="N11" s="234" t="s">
        <v>132</v>
      </c>
      <c r="O11" s="234" t="s">
        <v>132</v>
      </c>
      <c r="P11" s="235" t="s">
        <v>132</v>
      </c>
      <c r="Q11" s="364" t="s">
        <v>31</v>
      </c>
      <c r="R11" s="365" t="s">
        <v>19</v>
      </c>
      <c r="S11" s="356" t="s">
        <v>132</v>
      </c>
      <c r="T11" s="341" t="s">
        <v>132</v>
      </c>
      <c r="U11" s="313" t="s">
        <v>132</v>
      </c>
      <c r="V11" s="323" t="s">
        <v>132</v>
      </c>
      <c r="W11" s="313" t="s">
        <v>132</v>
      </c>
      <c r="X11" s="323" t="s">
        <v>132</v>
      </c>
      <c r="Y11" s="313" t="s">
        <v>132</v>
      </c>
      <c r="Z11" s="341" t="s">
        <v>132</v>
      </c>
      <c r="AA11" s="244"/>
      <c r="AB11" s="245"/>
      <c r="AC11" s="250"/>
      <c r="AD11" s="328"/>
      <c r="AE11" s="113">
        <v>0.6875</v>
      </c>
      <c r="AF11" s="100">
        <v>0</v>
      </c>
      <c r="AG11" s="484" t="s">
        <v>31</v>
      </c>
      <c r="AH11" s="485" t="s">
        <v>19</v>
      </c>
      <c r="AI11" s="113">
        <v>0.6875</v>
      </c>
      <c r="AJ11" s="100">
        <v>0</v>
      </c>
      <c r="AK11" s="113">
        <v>0.6875</v>
      </c>
      <c r="AL11" s="100">
        <v>0</v>
      </c>
      <c r="AM11" s="325">
        <v>0.6875</v>
      </c>
      <c r="AN11" s="181">
        <v>0</v>
      </c>
      <c r="AO11" s="244"/>
      <c r="AP11" s="245"/>
      <c r="AQ11" s="112"/>
      <c r="AR11" s="100"/>
      <c r="AS11" s="113"/>
      <c r="AT11" s="100"/>
      <c r="AU11" s="113"/>
      <c r="AV11" s="100"/>
      <c r="AW11" s="103" t="s">
        <v>31</v>
      </c>
      <c r="AX11" s="36" t="s">
        <v>19</v>
      </c>
      <c r="AY11" s="244"/>
      <c r="AZ11" s="247"/>
      <c r="BA11" s="93"/>
      <c r="BB11" s="93"/>
      <c r="BC11" s="93"/>
      <c r="BD11" s="93"/>
      <c r="BE11" s="93"/>
      <c r="BF11" s="100"/>
      <c r="BG11" s="154"/>
      <c r="BH11" s="114"/>
      <c r="BI11" s="114"/>
      <c r="BJ11" s="114"/>
      <c r="BK11" s="114"/>
      <c r="BL11" s="143"/>
      <c r="BM11" s="43" t="s">
        <v>31</v>
      </c>
      <c r="BN11" s="48" t="s">
        <v>19</v>
      </c>
      <c r="BO11" s="329"/>
      <c r="BP11" s="249"/>
      <c r="BQ11" s="114"/>
      <c r="BR11" s="114"/>
      <c r="BS11" s="114"/>
      <c r="BT11" s="114"/>
      <c r="BU11" s="114"/>
      <c r="BV11" s="143"/>
      <c r="BW11" s="154"/>
      <c r="BX11" s="114"/>
      <c r="BY11" s="114"/>
      <c r="BZ11" s="114"/>
      <c r="CA11" s="114"/>
      <c r="CB11" s="165"/>
      <c r="CC11" s="210"/>
    </row>
    <row r="12" spans="1:81" ht="18.75" x14ac:dyDescent="0.3">
      <c r="A12" s="37" t="s">
        <v>32</v>
      </c>
      <c r="B12" s="266" t="s">
        <v>19</v>
      </c>
      <c r="C12" s="236" t="s">
        <v>132</v>
      </c>
      <c r="D12" s="234" t="s">
        <v>132</v>
      </c>
      <c r="E12" s="234" t="s">
        <v>132</v>
      </c>
      <c r="F12" s="234" t="s">
        <v>132</v>
      </c>
      <c r="G12" s="234" t="s">
        <v>132</v>
      </c>
      <c r="H12" s="234" t="s">
        <v>132</v>
      </c>
      <c r="I12" s="234" t="s">
        <v>132</v>
      </c>
      <c r="J12" s="237" t="s">
        <v>132</v>
      </c>
      <c r="K12" s="248"/>
      <c r="L12" s="249"/>
      <c r="M12" s="93">
        <v>0.52083333333333337</v>
      </c>
      <c r="N12" s="93">
        <v>0.85416666666666663</v>
      </c>
      <c r="O12" s="93">
        <v>0.52083333333333337</v>
      </c>
      <c r="P12" s="153">
        <v>0.85416666666666663</v>
      </c>
      <c r="Q12" s="366" t="s">
        <v>32</v>
      </c>
      <c r="R12" s="367" t="s">
        <v>19</v>
      </c>
      <c r="S12" s="411">
        <v>0.58333333333333337</v>
      </c>
      <c r="T12" s="412">
        <v>0.90972222222222221</v>
      </c>
      <c r="U12" s="398">
        <v>0.41666666666666669</v>
      </c>
      <c r="V12" s="100">
        <v>0.75</v>
      </c>
      <c r="W12" s="244"/>
      <c r="X12" s="245"/>
      <c r="Y12" s="113">
        <v>0.5</v>
      </c>
      <c r="Z12" s="153">
        <v>0.83333333333333337</v>
      </c>
      <c r="AA12" s="413">
        <v>0.60416666666666663</v>
      </c>
      <c r="AB12" s="414">
        <v>0.92708333333333337</v>
      </c>
      <c r="AC12" s="413">
        <v>0.60416666666666663</v>
      </c>
      <c r="AD12" s="414">
        <v>0.92708333333333337</v>
      </c>
      <c r="AE12" s="413">
        <v>0.60416666666666663</v>
      </c>
      <c r="AF12" s="414">
        <v>0.92708333333333337</v>
      </c>
      <c r="AG12" s="486" t="s">
        <v>32</v>
      </c>
      <c r="AH12" s="487" t="s">
        <v>19</v>
      </c>
      <c r="AI12" s="409">
        <v>0.5</v>
      </c>
      <c r="AJ12" s="410">
        <v>0.83333333333333337</v>
      </c>
      <c r="AK12" s="113">
        <v>0.41666666666666669</v>
      </c>
      <c r="AL12" s="100">
        <v>0.75</v>
      </c>
      <c r="AM12" s="113">
        <v>0.41666666666666669</v>
      </c>
      <c r="AN12" s="100">
        <v>0.75</v>
      </c>
      <c r="AO12" s="244"/>
      <c r="AP12" s="245"/>
      <c r="AQ12" s="442"/>
      <c r="AR12" s="143"/>
      <c r="AS12" s="418"/>
      <c r="AT12" s="143"/>
      <c r="AU12" s="418"/>
      <c r="AV12" s="143"/>
      <c r="AW12" s="104" t="s">
        <v>32</v>
      </c>
      <c r="AX12" s="38" t="s">
        <v>19</v>
      </c>
      <c r="AY12" s="154"/>
      <c r="AZ12" s="114"/>
      <c r="BA12" s="249"/>
      <c r="BB12" s="249"/>
      <c r="BC12" s="114"/>
      <c r="BD12" s="114"/>
      <c r="BE12" s="114"/>
      <c r="BF12" s="143"/>
      <c r="BG12" s="154"/>
      <c r="BH12" s="114"/>
      <c r="BI12" s="114"/>
      <c r="BJ12" s="114"/>
      <c r="BK12" s="114"/>
      <c r="BL12" s="143"/>
      <c r="BM12" s="44" t="s">
        <v>32</v>
      </c>
      <c r="BN12" s="40" t="s">
        <v>19</v>
      </c>
      <c r="BO12" s="329"/>
      <c r="BP12" s="249"/>
      <c r="BQ12" s="249"/>
      <c r="BR12" s="249"/>
      <c r="BS12" s="114"/>
      <c r="BT12" s="114"/>
      <c r="BU12" s="114"/>
      <c r="BV12" s="143"/>
      <c r="BW12" s="154"/>
      <c r="BX12" s="114"/>
      <c r="BY12" s="114"/>
      <c r="BZ12" s="114"/>
      <c r="CA12" s="114"/>
      <c r="CB12" s="165"/>
      <c r="CC12" s="210"/>
    </row>
    <row r="13" spans="1:81" ht="19.5" thickBot="1" x14ac:dyDescent="0.35">
      <c r="A13" s="37" t="s">
        <v>256</v>
      </c>
      <c r="B13" s="266" t="s">
        <v>19</v>
      </c>
      <c r="C13" s="113">
        <v>0.6875</v>
      </c>
      <c r="D13" s="93">
        <v>0</v>
      </c>
      <c r="E13" s="271">
        <v>0.75</v>
      </c>
      <c r="F13" s="271">
        <v>4.1666666666666664E-2</v>
      </c>
      <c r="G13" s="247"/>
      <c r="H13" s="247"/>
      <c r="I13" s="93">
        <v>0.6875</v>
      </c>
      <c r="J13" s="153">
        <v>0</v>
      </c>
      <c r="K13" s="112">
        <v>0.6875</v>
      </c>
      <c r="L13" s="93">
        <v>0</v>
      </c>
      <c r="M13" s="93">
        <v>0.6875</v>
      </c>
      <c r="N13" s="93">
        <v>0</v>
      </c>
      <c r="O13" s="271">
        <v>0.75</v>
      </c>
      <c r="P13" s="344">
        <v>4.1666666666666664E-2</v>
      </c>
      <c r="Q13" s="368" t="s">
        <v>256</v>
      </c>
      <c r="R13" s="369" t="s">
        <v>19</v>
      </c>
      <c r="S13" s="357">
        <v>0.75</v>
      </c>
      <c r="T13" s="344">
        <v>4.1666666666666664E-2</v>
      </c>
      <c r="U13" s="399"/>
      <c r="V13" s="245"/>
      <c r="W13" s="113">
        <v>0.66666666666666663</v>
      </c>
      <c r="X13" s="100">
        <v>0.97916666666666663</v>
      </c>
      <c r="Y13" s="113">
        <v>0.52083333333333337</v>
      </c>
      <c r="Z13" s="153">
        <v>0.85416666666666663</v>
      </c>
      <c r="AA13" s="113">
        <v>0.6875</v>
      </c>
      <c r="AB13" s="100">
        <v>0</v>
      </c>
      <c r="AC13" s="355">
        <v>0.6875</v>
      </c>
      <c r="AD13" s="393">
        <v>0</v>
      </c>
      <c r="AE13" s="515"/>
      <c r="AF13" s="516"/>
      <c r="AG13" s="488" t="s">
        <v>257</v>
      </c>
      <c r="AH13" s="489" t="s">
        <v>19</v>
      </c>
      <c r="AI13" s="148">
        <v>0.58333333333333337</v>
      </c>
      <c r="AJ13" s="160">
        <v>0.90972222222222221</v>
      </c>
      <c r="AK13" s="148">
        <v>0.6875</v>
      </c>
      <c r="AL13" s="160">
        <v>0</v>
      </c>
      <c r="AM13" s="498">
        <v>0.66666666666666663</v>
      </c>
      <c r="AN13" s="499">
        <v>0.97916666666666663</v>
      </c>
      <c r="AO13" s="148"/>
      <c r="AP13" s="160"/>
      <c r="AQ13" s="146"/>
      <c r="AR13" s="160"/>
      <c r="AS13" s="148"/>
      <c r="AT13" s="160"/>
      <c r="AU13" s="148"/>
      <c r="AV13" s="160"/>
      <c r="AW13" s="200" t="s">
        <v>257</v>
      </c>
      <c r="AX13" s="201" t="s">
        <v>19</v>
      </c>
      <c r="AY13" s="113"/>
      <c r="AZ13" s="93"/>
      <c r="BA13" s="93"/>
      <c r="BB13" s="93"/>
      <c r="BC13" s="183"/>
      <c r="BD13" s="93"/>
      <c r="BE13" s="93"/>
      <c r="BF13" s="100"/>
      <c r="BG13" s="113"/>
      <c r="BH13" s="93"/>
      <c r="BI13" s="111"/>
      <c r="BJ13" s="184"/>
      <c r="BK13" s="184"/>
      <c r="BL13" s="185"/>
      <c r="BM13" s="44" t="s">
        <v>256</v>
      </c>
      <c r="BN13" s="79" t="s">
        <v>19</v>
      </c>
      <c r="BO13" s="112"/>
      <c r="BP13" s="93"/>
      <c r="BQ13" s="93"/>
      <c r="BR13" s="93"/>
      <c r="BS13" s="93"/>
      <c r="BT13" s="93"/>
      <c r="BU13" s="93"/>
      <c r="BV13" s="153"/>
      <c r="BW13" s="113"/>
      <c r="BX13" s="93"/>
      <c r="BY13" s="93"/>
      <c r="BZ13" s="93"/>
      <c r="CA13" s="93"/>
      <c r="CB13" s="153"/>
      <c r="CC13" s="210"/>
    </row>
    <row r="14" spans="1:81" ht="19.5" thickBot="1" x14ac:dyDescent="0.35">
      <c r="A14" s="198" t="s">
        <v>257</v>
      </c>
      <c r="B14" s="267" t="s">
        <v>19</v>
      </c>
      <c r="C14" s="168">
        <v>0.6875</v>
      </c>
      <c r="D14" s="169">
        <v>0</v>
      </c>
      <c r="E14" s="277"/>
      <c r="F14" s="277"/>
      <c r="G14" s="169">
        <v>0.66666666666666663</v>
      </c>
      <c r="H14" s="169">
        <v>0.97916666666666663</v>
      </c>
      <c r="I14" s="169">
        <v>0.6875</v>
      </c>
      <c r="J14" s="171">
        <v>0</v>
      </c>
      <c r="K14" s="279">
        <v>0.75</v>
      </c>
      <c r="L14" s="280">
        <v>4.1666666666666664E-2</v>
      </c>
      <c r="M14" s="150">
        <v>0.6875</v>
      </c>
      <c r="N14" s="150">
        <v>0</v>
      </c>
      <c r="O14" s="93">
        <v>0.60416666666666663</v>
      </c>
      <c r="P14" s="153">
        <v>0.92708333333333337</v>
      </c>
      <c r="Q14" s="370" t="s">
        <v>257</v>
      </c>
      <c r="R14" s="371" t="s">
        <v>19</v>
      </c>
      <c r="S14" s="358"/>
      <c r="T14" s="336"/>
      <c r="U14" s="168">
        <v>0.6875</v>
      </c>
      <c r="V14" s="171">
        <v>0</v>
      </c>
      <c r="W14" s="168">
        <v>0.6875</v>
      </c>
      <c r="X14" s="171">
        <v>0</v>
      </c>
      <c r="Y14" s="168">
        <v>0.6875</v>
      </c>
      <c r="Z14" s="170">
        <v>0</v>
      </c>
      <c r="AA14" s="168">
        <v>0.6875</v>
      </c>
      <c r="AB14" s="171">
        <v>0</v>
      </c>
      <c r="AC14" s="199">
        <v>0.6875</v>
      </c>
      <c r="AD14" s="170">
        <v>0</v>
      </c>
      <c r="AE14" s="405">
        <v>0.75</v>
      </c>
      <c r="AF14" s="450">
        <v>4.1666666666666664E-2</v>
      </c>
      <c r="AG14" s="505" t="s">
        <v>37</v>
      </c>
      <c r="AH14" s="506" t="s">
        <v>38</v>
      </c>
      <c r="AI14" s="451">
        <v>0.6875</v>
      </c>
      <c r="AJ14" s="206">
        <v>0</v>
      </c>
      <c r="AK14" s="464"/>
      <c r="AL14" s="287"/>
      <c r="AM14" s="451">
        <v>0.58333333333333337</v>
      </c>
      <c r="AN14" s="321">
        <v>0.90972222222222221</v>
      </c>
      <c r="AO14" s="320"/>
      <c r="AP14" s="321"/>
      <c r="AQ14" s="354"/>
      <c r="AR14" s="206"/>
      <c r="AS14" s="320"/>
      <c r="AT14" s="321"/>
      <c r="AU14" s="320"/>
      <c r="AV14" s="321"/>
      <c r="AW14" s="422" t="s">
        <v>37</v>
      </c>
      <c r="AX14" s="50" t="s">
        <v>38</v>
      </c>
      <c r="AY14" s="168"/>
      <c r="AZ14" s="169"/>
      <c r="BA14" s="169"/>
      <c r="BB14" s="169"/>
      <c r="BC14" s="169"/>
      <c r="BD14" s="169"/>
      <c r="BE14" s="169"/>
      <c r="BF14" s="171"/>
      <c r="BG14" s="337"/>
      <c r="BH14" s="338"/>
      <c r="BI14" s="202"/>
      <c r="BJ14" s="202"/>
      <c r="BK14" s="202"/>
      <c r="BL14" s="203"/>
      <c r="BM14" s="204" t="s">
        <v>257</v>
      </c>
      <c r="BN14" s="205" t="s">
        <v>19</v>
      </c>
      <c r="BO14" s="169"/>
      <c r="BP14" s="169"/>
      <c r="BQ14" s="310"/>
      <c r="BR14" s="310"/>
      <c r="BS14" s="169"/>
      <c r="BT14" s="169"/>
      <c r="BU14" s="169"/>
      <c r="BV14" s="170"/>
      <c r="BW14" s="168"/>
      <c r="BX14" s="169"/>
      <c r="BY14" s="169"/>
      <c r="BZ14" s="169"/>
      <c r="CA14" s="169"/>
      <c r="CB14" s="170"/>
      <c r="CC14" s="211"/>
    </row>
    <row r="15" spans="1:81" ht="18.75" x14ac:dyDescent="0.3">
      <c r="A15" s="293" t="s">
        <v>37</v>
      </c>
      <c r="B15" s="294" t="s">
        <v>38</v>
      </c>
      <c r="C15" s="256"/>
      <c r="D15" s="256"/>
      <c r="E15" s="93">
        <v>0.6875</v>
      </c>
      <c r="F15" s="93">
        <v>0</v>
      </c>
      <c r="G15" s="274">
        <v>0.75</v>
      </c>
      <c r="H15" s="274">
        <v>4.1666666666666664E-2</v>
      </c>
      <c r="I15" s="275">
        <v>0.66666666666666663</v>
      </c>
      <c r="J15" s="278">
        <v>0.97916666666666663</v>
      </c>
      <c r="K15" s="302"/>
      <c r="L15" s="303"/>
      <c r="M15" s="304"/>
      <c r="N15" s="285"/>
      <c r="O15" s="286"/>
      <c r="P15" s="349"/>
      <c r="Q15" s="372" t="s">
        <v>37</v>
      </c>
      <c r="R15" s="373" t="s">
        <v>38</v>
      </c>
      <c r="S15" s="359"/>
      <c r="T15" s="395"/>
      <c r="U15" s="196">
        <v>0.6875</v>
      </c>
      <c r="V15" s="195">
        <v>0</v>
      </c>
      <c r="W15" s="391">
        <v>0.66666666666666663</v>
      </c>
      <c r="X15" s="392">
        <v>0.97916666666666663</v>
      </c>
      <c r="Y15" s="324">
        <v>0.75</v>
      </c>
      <c r="Z15" s="330">
        <v>4.1666666666666664E-2</v>
      </c>
      <c r="AA15" s="387"/>
      <c r="AB15" s="346"/>
      <c r="AC15" s="380"/>
      <c r="AD15" s="403"/>
      <c r="AE15" s="387"/>
      <c r="AF15" s="403"/>
      <c r="AG15" s="507" t="s">
        <v>39</v>
      </c>
      <c r="AH15" s="375" t="s">
        <v>38</v>
      </c>
      <c r="AI15" s="462"/>
      <c r="AJ15" s="463"/>
      <c r="AK15" s="196">
        <v>0.75</v>
      </c>
      <c r="AL15" s="195">
        <v>4.1666666666666664E-2</v>
      </c>
      <c r="AM15" s="196">
        <v>0.6875</v>
      </c>
      <c r="AN15" s="195">
        <v>0</v>
      </c>
      <c r="AO15" s="415"/>
      <c r="AP15" s="416"/>
      <c r="AQ15" s="415"/>
      <c r="AR15" s="416"/>
      <c r="AS15" s="415"/>
      <c r="AT15" s="416"/>
      <c r="AU15" s="415"/>
      <c r="AV15" s="416"/>
      <c r="AW15" s="423" t="s">
        <v>39</v>
      </c>
      <c r="AX15" s="52" t="s">
        <v>38</v>
      </c>
      <c r="AY15" s="190"/>
      <c r="AZ15" s="190"/>
      <c r="BA15" s="190"/>
      <c r="BB15" s="190"/>
      <c r="BC15" s="190"/>
      <c r="BD15" s="190"/>
      <c r="BE15" s="190"/>
      <c r="BF15" s="190"/>
      <c r="BG15" s="196"/>
      <c r="BH15" s="156"/>
      <c r="BI15" s="156"/>
      <c r="BJ15" s="156"/>
      <c r="BK15" s="184"/>
      <c r="BL15" s="197"/>
      <c r="BM15" s="49" t="s">
        <v>37</v>
      </c>
      <c r="BN15" s="50" t="s">
        <v>38</v>
      </c>
      <c r="BO15" s="189"/>
      <c r="BP15" s="190"/>
      <c r="BQ15" s="156"/>
      <c r="BR15" s="156"/>
      <c r="BS15" s="156"/>
      <c r="BT15" s="156"/>
      <c r="BU15" s="156"/>
      <c r="BV15" s="195"/>
      <c r="BW15" s="189"/>
      <c r="BX15" s="190"/>
      <c r="BY15" s="191"/>
      <c r="BZ15" s="191"/>
      <c r="CA15" s="156"/>
      <c r="CB15" s="157"/>
      <c r="CC15" s="212"/>
    </row>
    <row r="16" spans="1:81" ht="18.75" x14ac:dyDescent="0.3">
      <c r="A16" s="295" t="s">
        <v>39</v>
      </c>
      <c r="B16" s="296" t="s">
        <v>38</v>
      </c>
      <c r="C16" s="247"/>
      <c r="D16" s="247"/>
      <c r="E16" s="93">
        <v>0.6875</v>
      </c>
      <c r="F16" s="93">
        <v>0</v>
      </c>
      <c r="G16" s="93">
        <v>0.6875</v>
      </c>
      <c r="H16" s="93">
        <v>0</v>
      </c>
      <c r="I16" s="93">
        <v>0.6875</v>
      </c>
      <c r="J16" s="153">
        <v>0</v>
      </c>
      <c r="K16" s="305"/>
      <c r="L16" s="306"/>
      <c r="M16" s="306"/>
      <c r="N16" s="257"/>
      <c r="O16" s="257"/>
      <c r="P16" s="350"/>
      <c r="Q16" s="374" t="s">
        <v>39</v>
      </c>
      <c r="R16" s="375" t="s">
        <v>38</v>
      </c>
      <c r="S16" s="112">
        <v>0.6875</v>
      </c>
      <c r="T16" s="153">
        <v>0</v>
      </c>
      <c r="U16" s="400"/>
      <c r="V16" s="401"/>
      <c r="W16" s="324">
        <v>0.75</v>
      </c>
      <c r="X16" s="330">
        <v>4.1666666666666664E-2</v>
      </c>
      <c r="Y16" s="347">
        <v>0.66666666666666663</v>
      </c>
      <c r="Z16" s="386">
        <v>0.97916666666666663</v>
      </c>
      <c r="AA16" s="244"/>
      <c r="AB16" s="245"/>
      <c r="AC16" s="250"/>
      <c r="AD16" s="328"/>
      <c r="AE16" s="406"/>
      <c r="AF16" s="350"/>
      <c r="AG16" s="507" t="s">
        <v>40</v>
      </c>
      <c r="AH16" s="375" t="s">
        <v>38</v>
      </c>
      <c r="AI16" s="465"/>
      <c r="AJ16" s="466"/>
      <c r="AK16" s="465"/>
      <c r="AL16" s="466"/>
      <c r="AM16" s="460">
        <v>0.75</v>
      </c>
      <c r="AN16" s="461">
        <v>4.1666666666666664E-2</v>
      </c>
      <c r="AO16" s="152"/>
      <c r="AP16" s="417"/>
      <c r="AQ16" s="152"/>
      <c r="AR16" s="417"/>
      <c r="AS16" s="421"/>
      <c r="AT16" s="144"/>
      <c r="AU16" s="421"/>
      <c r="AV16" s="144"/>
      <c r="AW16" s="423" t="s">
        <v>40</v>
      </c>
      <c r="AX16" s="52" t="s">
        <v>38</v>
      </c>
      <c r="AY16" s="113"/>
      <c r="AZ16" s="93"/>
      <c r="BA16" s="93"/>
      <c r="BB16" s="93"/>
      <c r="BC16" s="93"/>
      <c r="BD16" s="93"/>
      <c r="BE16" s="93"/>
      <c r="BF16" s="100"/>
      <c r="BG16" s="113"/>
      <c r="BH16" s="93"/>
      <c r="BI16" s="156"/>
      <c r="BJ16" s="156"/>
      <c r="BK16" s="111"/>
      <c r="BL16" s="181"/>
      <c r="BM16" s="51" t="s">
        <v>39</v>
      </c>
      <c r="BN16" s="52" t="s">
        <v>38</v>
      </c>
      <c r="BO16" s="112"/>
      <c r="BP16" s="93"/>
      <c r="BQ16" s="93"/>
      <c r="BR16" s="93"/>
      <c r="BS16" s="93"/>
      <c r="BT16" s="93"/>
      <c r="BU16" s="93"/>
      <c r="BV16" s="100"/>
      <c r="BW16" s="112"/>
      <c r="BX16" s="93"/>
      <c r="BY16" s="159"/>
      <c r="BZ16" s="159"/>
      <c r="CA16" s="159"/>
      <c r="CB16" s="207"/>
      <c r="CC16" s="210"/>
    </row>
    <row r="17" spans="1:81" ht="19.5" thickBot="1" x14ac:dyDescent="0.35">
      <c r="A17" s="295" t="s">
        <v>40</v>
      </c>
      <c r="B17" s="296" t="s">
        <v>38</v>
      </c>
      <c r="C17" s="234" t="s">
        <v>132</v>
      </c>
      <c r="D17" s="234" t="s">
        <v>132</v>
      </c>
      <c r="E17" s="234" t="s">
        <v>132</v>
      </c>
      <c r="F17" s="234" t="s">
        <v>132</v>
      </c>
      <c r="G17" s="234" t="s">
        <v>132</v>
      </c>
      <c r="H17" s="234" t="s">
        <v>132</v>
      </c>
      <c r="I17" s="234" t="s">
        <v>132</v>
      </c>
      <c r="J17" s="235" t="s">
        <v>132</v>
      </c>
      <c r="K17" s="236" t="s">
        <v>132</v>
      </c>
      <c r="L17" s="234" t="s">
        <v>132</v>
      </c>
      <c r="M17" s="234" t="s">
        <v>132</v>
      </c>
      <c r="N17" s="234" t="s">
        <v>132</v>
      </c>
      <c r="O17" s="234" t="s">
        <v>132</v>
      </c>
      <c r="P17" s="235" t="s">
        <v>132</v>
      </c>
      <c r="Q17" s="374" t="s">
        <v>40</v>
      </c>
      <c r="R17" s="375" t="s">
        <v>38</v>
      </c>
      <c r="S17" s="356" t="s">
        <v>132</v>
      </c>
      <c r="T17" s="341" t="s">
        <v>132</v>
      </c>
      <c r="U17" s="313" t="s">
        <v>132</v>
      </c>
      <c r="V17" s="323" t="s">
        <v>132</v>
      </c>
      <c r="W17" s="313" t="s">
        <v>132</v>
      </c>
      <c r="X17" s="323" t="s">
        <v>132</v>
      </c>
      <c r="Y17" s="313" t="s">
        <v>132</v>
      </c>
      <c r="Z17" s="341" t="s">
        <v>132</v>
      </c>
      <c r="AA17" s="244"/>
      <c r="AB17" s="245"/>
      <c r="AC17" s="385"/>
      <c r="AD17" s="350"/>
      <c r="AE17" s="113">
        <v>0.6875</v>
      </c>
      <c r="AF17" s="153">
        <v>0</v>
      </c>
      <c r="AG17" s="508" t="s">
        <v>41</v>
      </c>
      <c r="AH17" s="509" t="s">
        <v>38</v>
      </c>
      <c r="AI17" s="446" t="s">
        <v>132</v>
      </c>
      <c r="AJ17" s="447" t="s">
        <v>132</v>
      </c>
      <c r="AK17" s="446" t="s">
        <v>132</v>
      </c>
      <c r="AL17" s="447" t="s">
        <v>132</v>
      </c>
      <c r="AM17" s="446" t="s">
        <v>132</v>
      </c>
      <c r="AN17" s="447" t="s">
        <v>132</v>
      </c>
      <c r="AO17" s="513"/>
      <c r="AP17" s="514"/>
      <c r="AQ17" s="445"/>
      <c r="AR17" s="449"/>
      <c r="AS17" s="452"/>
      <c r="AT17" s="453"/>
      <c r="AU17" s="421"/>
      <c r="AV17" s="144"/>
      <c r="AW17" s="423" t="s">
        <v>41</v>
      </c>
      <c r="AX17" s="52" t="s">
        <v>38</v>
      </c>
      <c r="AY17" s="113"/>
      <c r="AZ17" s="93"/>
      <c r="BA17" s="93"/>
      <c r="BB17" s="93"/>
      <c r="BC17" s="93"/>
      <c r="BD17" s="93"/>
      <c r="BE17" s="93"/>
      <c r="BF17" s="100"/>
      <c r="BG17" s="113"/>
      <c r="BH17" s="93"/>
      <c r="BI17" s="156"/>
      <c r="BJ17" s="156"/>
      <c r="BK17" s="111"/>
      <c r="BL17" s="181"/>
      <c r="BM17" s="51" t="s">
        <v>40</v>
      </c>
      <c r="BN17" s="52" t="s">
        <v>38</v>
      </c>
      <c r="BO17" s="112"/>
      <c r="BP17" s="93"/>
      <c r="BQ17" s="93"/>
      <c r="BR17" s="93"/>
      <c r="BS17" s="93"/>
      <c r="BT17" s="93"/>
      <c r="BU17" s="93"/>
      <c r="BV17" s="100"/>
      <c r="BW17" s="112"/>
      <c r="BX17" s="93"/>
      <c r="BY17" s="159"/>
      <c r="BZ17" s="159"/>
      <c r="CA17" s="93"/>
      <c r="CB17" s="153"/>
      <c r="CC17" s="210"/>
    </row>
    <row r="18" spans="1:81" ht="18.75" x14ac:dyDescent="0.3">
      <c r="A18" s="297" t="s">
        <v>41</v>
      </c>
      <c r="B18" s="298" t="s">
        <v>38</v>
      </c>
      <c r="C18" s="247"/>
      <c r="D18" s="247"/>
      <c r="E18" s="309"/>
      <c r="F18" s="309"/>
      <c r="G18" s="93">
        <v>0.6875</v>
      </c>
      <c r="H18" s="93">
        <v>0</v>
      </c>
      <c r="I18" s="93">
        <v>0.52083333333333337</v>
      </c>
      <c r="J18" s="100">
        <v>0.85416666666666663</v>
      </c>
      <c r="K18" s="305"/>
      <c r="L18" s="306"/>
      <c r="M18" s="306"/>
      <c r="N18" s="257"/>
      <c r="O18" s="247"/>
      <c r="P18" s="328"/>
      <c r="Q18" s="374" t="s">
        <v>41</v>
      </c>
      <c r="R18" s="375" t="s">
        <v>38</v>
      </c>
      <c r="S18" s="112">
        <v>0.6875</v>
      </c>
      <c r="T18" s="153">
        <v>0</v>
      </c>
      <c r="U18" s="413">
        <v>0.58333333333333337</v>
      </c>
      <c r="V18" s="414">
        <v>0.90972222222222221</v>
      </c>
      <c r="W18" s="342">
        <v>0.52083333333333337</v>
      </c>
      <c r="X18" s="382">
        <v>0.85416666666666663</v>
      </c>
      <c r="Y18" s="244"/>
      <c r="Z18" s="328"/>
      <c r="AA18" s="388" t="s">
        <v>132</v>
      </c>
      <c r="AB18" s="379" t="s">
        <v>132</v>
      </c>
      <c r="AC18" s="381" t="s">
        <v>132</v>
      </c>
      <c r="AD18" s="404" t="s">
        <v>132</v>
      </c>
      <c r="AE18" s="388" t="s">
        <v>132</v>
      </c>
      <c r="AF18" s="379" t="s">
        <v>132</v>
      </c>
      <c r="AG18" s="5"/>
      <c r="AH18" s="5"/>
      <c r="AI18" s="471">
        <v>3</v>
      </c>
      <c r="AJ18" s="470">
        <v>4</v>
      </c>
      <c r="AK18" s="491">
        <v>2</v>
      </c>
      <c r="AL18" s="492">
        <v>5</v>
      </c>
      <c r="AM18" s="471">
        <v>2</v>
      </c>
      <c r="AN18" s="492">
        <v>8</v>
      </c>
      <c r="AO18" s="491"/>
      <c r="AP18" s="492"/>
      <c r="AQ18" s="493"/>
      <c r="AR18" s="494"/>
      <c r="AS18" s="493"/>
      <c r="AT18" s="494"/>
      <c r="AU18" s="491"/>
      <c r="AV18" s="492"/>
      <c r="AW18" s="5"/>
      <c r="AX18" s="5"/>
      <c r="AY18" s="145"/>
      <c r="AZ18" s="93"/>
      <c r="BA18" s="146"/>
      <c r="BB18" s="147"/>
      <c r="BC18" s="93"/>
      <c r="BD18" s="146"/>
      <c r="BE18" s="183"/>
      <c r="BF18" s="160"/>
      <c r="BG18" s="148"/>
      <c r="BH18" s="150"/>
      <c r="BI18" s="156"/>
      <c r="BJ18" s="157"/>
      <c r="BK18" s="186"/>
      <c r="BL18" s="187"/>
      <c r="BM18" s="51" t="s">
        <v>41</v>
      </c>
      <c r="BN18" s="54" t="s">
        <v>38</v>
      </c>
      <c r="BO18" s="112"/>
      <c r="BP18" s="93"/>
      <c r="BQ18" s="93"/>
      <c r="BR18" s="93"/>
      <c r="BS18" s="93"/>
      <c r="BT18" s="93"/>
      <c r="BU18" s="93"/>
      <c r="BV18" s="100"/>
      <c r="BW18" s="112"/>
      <c r="BX18" s="93"/>
      <c r="BY18" s="159"/>
      <c r="BZ18" s="159"/>
      <c r="CA18" s="93"/>
      <c r="CB18" s="153"/>
      <c r="CC18" s="210"/>
    </row>
    <row r="19" spans="1:81" s="27" customFormat="1" ht="19.5" thickBot="1" x14ac:dyDescent="0.35">
      <c r="A19" s="297" t="s">
        <v>258</v>
      </c>
      <c r="B19" s="298" t="s">
        <v>38</v>
      </c>
      <c r="C19" s="93">
        <v>0.6875</v>
      </c>
      <c r="D19" s="93">
        <v>0</v>
      </c>
      <c r="E19" s="93">
        <v>0.6875</v>
      </c>
      <c r="F19" s="93">
        <v>0</v>
      </c>
      <c r="G19" s="272">
        <v>0.64583333333333337</v>
      </c>
      <c r="H19" s="272">
        <v>0.96527777777777779</v>
      </c>
      <c r="I19" s="247"/>
      <c r="J19" s="247"/>
      <c r="K19" s="305"/>
      <c r="L19" s="306"/>
      <c r="M19" s="306"/>
      <c r="N19" s="273"/>
      <c r="O19" s="247"/>
      <c r="P19" s="328"/>
      <c r="Q19" s="376" t="s">
        <v>258</v>
      </c>
      <c r="R19" s="377" t="s">
        <v>38</v>
      </c>
      <c r="S19" s="250"/>
      <c r="T19" s="328"/>
      <c r="U19" s="113">
        <v>0.6875</v>
      </c>
      <c r="V19" s="100">
        <v>0</v>
      </c>
      <c r="W19" s="113">
        <v>0.6875</v>
      </c>
      <c r="X19" s="100">
        <v>0</v>
      </c>
      <c r="Y19" s="113">
        <v>0.66666666666666663</v>
      </c>
      <c r="Z19" s="153">
        <v>0.97916666666666663</v>
      </c>
      <c r="AA19" s="113">
        <v>0.6875</v>
      </c>
      <c r="AB19" s="100">
        <v>0</v>
      </c>
      <c r="AC19" s="504">
        <v>0.75</v>
      </c>
      <c r="AD19" s="390">
        <v>4.1666666666666664E-2</v>
      </c>
      <c r="AE19" s="517"/>
      <c r="AF19" s="518"/>
      <c r="AG19" s="5"/>
      <c r="AH19" s="5"/>
      <c r="AI19" s="168"/>
      <c r="AJ19" s="472">
        <v>7</v>
      </c>
      <c r="AK19" s="495"/>
      <c r="AL19" s="472">
        <v>7</v>
      </c>
      <c r="AM19" s="495"/>
      <c r="AN19" s="472">
        <v>10</v>
      </c>
      <c r="AO19" s="495"/>
      <c r="AP19" s="472"/>
      <c r="AQ19" s="496"/>
      <c r="AR19" s="497"/>
      <c r="AS19" s="496"/>
      <c r="AT19" s="497"/>
      <c r="AU19" s="495"/>
      <c r="AV19" s="472"/>
      <c r="AW19" s="5"/>
      <c r="AX19" s="5"/>
      <c r="AY19" s="148"/>
      <c r="AZ19" s="149"/>
      <c r="BA19" s="150"/>
      <c r="BB19" s="149"/>
      <c r="BC19" s="150"/>
      <c r="BD19" s="147"/>
      <c r="BE19" s="147"/>
      <c r="BF19" s="160"/>
      <c r="BG19" s="161"/>
      <c r="BH19" s="166"/>
      <c r="BI19" s="162"/>
      <c r="BJ19" s="166"/>
      <c r="BK19" s="147"/>
      <c r="BL19" s="160"/>
      <c r="BM19" s="53" t="s">
        <v>258</v>
      </c>
      <c r="BN19" s="54" t="s">
        <v>38</v>
      </c>
      <c r="BO19" s="112"/>
      <c r="BP19" s="93"/>
      <c r="BQ19" s="93"/>
      <c r="BR19" s="93"/>
      <c r="BS19" s="93"/>
      <c r="BT19" s="93"/>
      <c r="BU19" s="93"/>
      <c r="BV19" s="100"/>
      <c r="BW19" s="192"/>
      <c r="BX19" s="163"/>
      <c r="BY19" s="163"/>
      <c r="BZ19" s="163"/>
      <c r="CA19" s="93"/>
      <c r="CB19" s="153"/>
      <c r="CC19" s="213"/>
    </row>
    <row r="20" spans="1:81" s="27" customFormat="1" ht="19.5" thickBot="1" x14ac:dyDescent="0.35">
      <c r="A20" s="299" t="s">
        <v>259</v>
      </c>
      <c r="B20" s="300" t="s">
        <v>38</v>
      </c>
      <c r="C20" s="242"/>
      <c r="D20" s="242"/>
      <c r="E20" s="93">
        <v>0.6875</v>
      </c>
      <c r="F20" s="93">
        <v>0</v>
      </c>
      <c r="G20" s="93">
        <v>0.6875</v>
      </c>
      <c r="H20" s="93">
        <v>0</v>
      </c>
      <c r="I20" s="93">
        <v>0.6875</v>
      </c>
      <c r="J20" s="153">
        <v>0</v>
      </c>
      <c r="K20" s="307"/>
      <c r="L20" s="308"/>
      <c r="M20" s="308"/>
      <c r="N20" s="288"/>
      <c r="O20" s="289"/>
      <c r="P20" s="351"/>
      <c r="Q20" s="448" t="s">
        <v>259</v>
      </c>
      <c r="R20" s="378" t="s">
        <v>38</v>
      </c>
      <c r="S20" s="389"/>
      <c r="T20" s="351"/>
      <c r="U20" s="168">
        <v>0.6875</v>
      </c>
      <c r="V20" s="171">
        <v>0</v>
      </c>
      <c r="W20" s="168">
        <v>0.6875</v>
      </c>
      <c r="X20" s="171">
        <v>0</v>
      </c>
      <c r="Y20" s="168">
        <v>0.6875</v>
      </c>
      <c r="Z20" s="171">
        <v>0</v>
      </c>
      <c r="AA20" s="405">
        <v>0.75</v>
      </c>
      <c r="AB20" s="331">
        <v>4.1666666666666664E-2</v>
      </c>
      <c r="AC20" s="502">
        <v>0.6875</v>
      </c>
      <c r="AD20" s="503">
        <v>0</v>
      </c>
      <c r="AE20" s="519"/>
      <c r="AF20" s="520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113"/>
      <c r="AZ20" s="93"/>
      <c r="BA20" s="93"/>
      <c r="BB20" s="93"/>
      <c r="BC20" s="93"/>
      <c r="BD20" s="93"/>
      <c r="BE20" s="93"/>
      <c r="BF20" s="100"/>
      <c r="BG20" s="167"/>
      <c r="BH20" s="163"/>
      <c r="BI20" s="163"/>
      <c r="BJ20" s="163"/>
      <c r="BK20" s="93"/>
      <c r="BL20" s="100"/>
      <c r="BM20" s="51" t="s">
        <v>259</v>
      </c>
      <c r="BN20" s="54" t="s">
        <v>38</v>
      </c>
      <c r="BO20" s="112"/>
      <c r="BP20" s="93"/>
      <c r="BQ20" s="93"/>
      <c r="BR20" s="93"/>
      <c r="BS20" s="93"/>
      <c r="BT20" s="93"/>
      <c r="BU20" s="93"/>
      <c r="BV20" s="100"/>
      <c r="BW20" s="192"/>
      <c r="BX20" s="163"/>
      <c r="BY20" s="163"/>
      <c r="BZ20" s="163"/>
      <c r="CA20" s="93"/>
      <c r="CB20" s="153"/>
      <c r="CC20" s="213"/>
    </row>
    <row r="21" spans="1:81" ht="21" hidden="1" customHeight="1" x14ac:dyDescent="0.3">
      <c r="A21" s="30" t="s">
        <v>44</v>
      </c>
      <c r="B21" s="28" t="s">
        <v>38</v>
      </c>
      <c r="C21" s="112"/>
      <c r="D21" s="153"/>
      <c r="E21" s="113"/>
      <c r="F21" s="100"/>
      <c r="G21" s="113"/>
      <c r="H21" s="100"/>
      <c r="I21" s="113"/>
      <c r="J21" s="100"/>
      <c r="K21" s="281"/>
      <c r="L21" s="282"/>
      <c r="M21" s="283"/>
      <c r="N21" s="284"/>
      <c r="O21" s="219"/>
      <c r="P21" s="156"/>
      <c r="Q21" s="352" t="s">
        <v>44</v>
      </c>
      <c r="R21" s="353" t="s">
        <v>38</v>
      </c>
      <c r="S21" s="196"/>
      <c r="T21" s="156"/>
      <c r="U21" s="156"/>
      <c r="V21" s="156"/>
      <c r="W21" s="156"/>
      <c r="X21" s="156"/>
      <c r="Y21" s="156"/>
      <c r="Z21" s="156"/>
      <c r="AA21" s="156"/>
      <c r="AB21" s="156"/>
      <c r="AC21" s="314"/>
      <c r="AD21" s="314"/>
      <c r="AE21" s="315"/>
      <c r="AF21" s="316"/>
      <c r="AG21" s="5"/>
      <c r="AH21" s="5"/>
      <c r="AI21" s="428" t="s">
        <v>56</v>
      </c>
      <c r="AJ21" s="429"/>
      <c r="AK21" s="429"/>
      <c r="AL21" s="429"/>
      <c r="AM21" s="430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113"/>
      <c r="AZ21" s="93"/>
      <c r="BA21" s="151"/>
      <c r="BB21" s="151"/>
      <c r="BC21" s="93"/>
      <c r="BD21" s="93"/>
      <c r="BE21" s="93"/>
      <c r="BF21" s="100"/>
      <c r="BG21" s="167"/>
      <c r="BH21" s="163"/>
      <c r="BI21" s="163"/>
      <c r="BJ21" s="163"/>
      <c r="BK21" s="93"/>
      <c r="BL21" s="100"/>
      <c r="BM21" s="51" t="s">
        <v>44</v>
      </c>
      <c r="BN21" s="52" t="s">
        <v>38</v>
      </c>
      <c r="BO21" s="112"/>
      <c r="BP21" s="93"/>
      <c r="BQ21" s="93"/>
      <c r="BR21" s="93"/>
      <c r="BS21" s="93"/>
      <c r="BT21" s="93"/>
      <c r="BU21" s="93"/>
      <c r="BV21" s="100"/>
      <c r="BW21" s="192"/>
      <c r="BX21" s="163"/>
      <c r="BY21" s="163"/>
      <c r="BZ21" s="163"/>
      <c r="CA21" s="93"/>
      <c r="CB21" s="153"/>
      <c r="CC21" s="210"/>
    </row>
    <row r="22" spans="1:81" ht="20.25" hidden="1" customHeight="1" thickBot="1" x14ac:dyDescent="0.35">
      <c r="A22" s="30" t="s">
        <v>45</v>
      </c>
      <c r="B22" s="29" t="s">
        <v>38</v>
      </c>
      <c r="C22" s="146"/>
      <c r="D22" s="147"/>
      <c r="E22" s="148"/>
      <c r="F22" s="160"/>
      <c r="G22" s="148"/>
      <c r="H22" s="160"/>
      <c r="I22" s="148"/>
      <c r="J22" s="160"/>
      <c r="K22" s="193"/>
      <c r="L22" s="166"/>
      <c r="M22" s="161"/>
      <c r="N22" s="222"/>
      <c r="O22" s="146"/>
      <c r="P22" s="150"/>
      <c r="Q22" s="39" t="s">
        <v>45</v>
      </c>
      <c r="R22" s="23" t="s">
        <v>38</v>
      </c>
      <c r="S22" s="148"/>
      <c r="T22" s="150"/>
      <c r="U22" s="150"/>
      <c r="V22" s="150"/>
      <c r="W22" s="150"/>
      <c r="X22" s="150"/>
      <c r="Y22" s="150"/>
      <c r="Z22" s="150"/>
      <c r="AA22" s="162"/>
      <c r="AB22" s="162"/>
      <c r="AC22" s="162"/>
      <c r="AD22" s="162"/>
      <c r="AE22" s="317"/>
      <c r="AF22" s="318"/>
      <c r="AG22" s="5"/>
      <c r="AH22" s="5"/>
      <c r="AI22" s="431" t="s">
        <v>57</v>
      </c>
      <c r="AJ22" s="443"/>
      <c r="AK22" s="443"/>
      <c r="AL22" s="443"/>
      <c r="AM22" s="432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148"/>
      <c r="AZ22" s="150"/>
      <c r="BA22" s="150"/>
      <c r="BB22" s="150"/>
      <c r="BC22" s="150"/>
      <c r="BD22" s="150"/>
      <c r="BE22" s="150"/>
      <c r="BF22" s="160"/>
      <c r="BG22" s="161"/>
      <c r="BH22" s="162"/>
      <c r="BI22" s="162"/>
      <c r="BJ22" s="162"/>
      <c r="BK22" s="150"/>
      <c r="BL22" s="160"/>
      <c r="BM22" s="55" t="s">
        <v>45</v>
      </c>
      <c r="BN22" s="56" t="s">
        <v>38</v>
      </c>
      <c r="BO22" s="146"/>
      <c r="BP22" s="150"/>
      <c r="BQ22" s="150"/>
      <c r="BR22" s="150"/>
      <c r="BS22" s="150"/>
      <c r="BT22" s="150"/>
      <c r="BU22" s="150"/>
      <c r="BV22" s="160"/>
      <c r="BW22" s="193"/>
      <c r="BX22" s="162"/>
      <c r="BY22" s="162"/>
      <c r="BZ22" s="162"/>
      <c r="CA22" s="150"/>
      <c r="CB22" s="147"/>
      <c r="CC22" s="214"/>
    </row>
    <row r="23" spans="1:81" ht="18.75" x14ac:dyDescent="0.3">
      <c r="B23" s="94"/>
      <c r="C23" s="95">
        <v>3</v>
      </c>
      <c r="D23" s="217">
        <v>5</v>
      </c>
      <c r="E23" s="94">
        <v>3</v>
      </c>
      <c r="F23" s="223">
        <v>5</v>
      </c>
      <c r="G23" s="94">
        <v>3</v>
      </c>
      <c r="H23" s="223">
        <v>7</v>
      </c>
      <c r="I23" s="94">
        <v>4</v>
      </c>
      <c r="J23" s="223">
        <v>6</v>
      </c>
      <c r="K23" s="225">
        <v>6</v>
      </c>
      <c r="L23" s="217">
        <v>7</v>
      </c>
      <c r="M23" s="94">
        <v>3</v>
      </c>
      <c r="N23" s="223">
        <v>6</v>
      </c>
      <c r="O23" s="220">
        <v>3</v>
      </c>
      <c r="P23" s="96">
        <v>6</v>
      </c>
      <c r="Q23" s="5"/>
      <c r="R23" s="5"/>
      <c r="S23" s="332">
        <v>3</v>
      </c>
      <c r="T23" s="333">
        <v>6</v>
      </c>
      <c r="U23" s="473">
        <v>3</v>
      </c>
      <c r="V23" s="474">
        <v>7</v>
      </c>
      <c r="W23" s="475">
        <v>3</v>
      </c>
      <c r="X23" s="474">
        <v>8</v>
      </c>
      <c r="Y23" s="473">
        <v>3</v>
      </c>
      <c r="Z23" s="474">
        <v>7</v>
      </c>
      <c r="AA23" s="473">
        <v>3</v>
      </c>
      <c r="AB23" s="474">
        <v>5</v>
      </c>
      <c r="AC23" s="473"/>
      <c r="AD23" s="470">
        <v>4</v>
      </c>
      <c r="AE23" s="476">
        <v>3</v>
      </c>
      <c r="AF23" s="470">
        <v>6</v>
      </c>
      <c r="AG23" s="5"/>
      <c r="AH23" s="5"/>
      <c r="AI23" s="428" t="s">
        <v>56</v>
      </c>
      <c r="AJ23" s="429"/>
      <c r="AK23" s="429"/>
      <c r="AL23" s="429"/>
      <c r="AM23" s="430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7"/>
      <c r="AZ23" s="59"/>
      <c r="BA23" s="61"/>
      <c r="BB23" s="63"/>
      <c r="BC23" s="61"/>
      <c r="BD23" s="63"/>
      <c r="BE23" s="75"/>
      <c r="BF23" s="62"/>
      <c r="BG23" s="67"/>
      <c r="BH23" s="68"/>
      <c r="BI23" s="71"/>
      <c r="BJ23" s="72"/>
      <c r="BK23" s="76"/>
      <c r="BL23" s="72"/>
      <c r="BM23" s="13"/>
      <c r="BN23" s="13"/>
      <c r="BO23" s="80"/>
      <c r="BP23" s="85"/>
      <c r="BQ23" s="80"/>
      <c r="BR23" s="85"/>
      <c r="BS23" s="88"/>
      <c r="BT23" s="81"/>
      <c r="BU23" s="88"/>
      <c r="BV23" s="81"/>
      <c r="BW23" s="86"/>
      <c r="BX23" s="91"/>
      <c r="BY23" s="88"/>
      <c r="BZ23" s="81"/>
      <c r="CA23" s="86"/>
      <c r="CB23" s="91"/>
      <c r="CC23" s="210"/>
    </row>
    <row r="24" spans="1:81" ht="19.5" thickBot="1" x14ac:dyDescent="0.3">
      <c r="B24" s="97"/>
      <c r="C24" s="98"/>
      <c r="D24" s="226">
        <v>8</v>
      </c>
      <c r="E24" s="227"/>
      <c r="F24" s="228">
        <v>8</v>
      </c>
      <c r="G24" s="58"/>
      <c r="H24" s="224">
        <v>10</v>
      </c>
      <c r="I24" s="97"/>
      <c r="J24" s="224">
        <v>10</v>
      </c>
      <c r="K24" s="221"/>
      <c r="L24" s="218">
        <v>14</v>
      </c>
      <c r="M24" s="97"/>
      <c r="N24" s="224">
        <v>9</v>
      </c>
      <c r="O24" s="221"/>
      <c r="P24" s="99">
        <v>9</v>
      </c>
      <c r="Q24" s="5"/>
      <c r="S24" s="334"/>
      <c r="T24" s="335">
        <v>9</v>
      </c>
      <c r="U24" s="334"/>
      <c r="V24" s="477">
        <v>10</v>
      </c>
      <c r="W24" s="334"/>
      <c r="X24" s="477">
        <v>11</v>
      </c>
      <c r="Y24" s="334"/>
      <c r="Z24" s="477">
        <v>10</v>
      </c>
      <c r="AA24" s="334"/>
      <c r="AB24" s="335">
        <v>8</v>
      </c>
      <c r="AC24" s="334"/>
      <c r="AD24" s="478">
        <v>9</v>
      </c>
      <c r="AE24" s="479"/>
      <c r="AF24" s="478">
        <v>9</v>
      </c>
      <c r="AG24" s="5"/>
      <c r="AH24" s="5"/>
      <c r="AI24" s="431" t="s">
        <v>57</v>
      </c>
      <c r="AJ24" s="443"/>
      <c r="AK24" s="443"/>
      <c r="AL24" s="443"/>
      <c r="AM24" s="432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8"/>
      <c r="AZ24" s="60"/>
      <c r="BA24" s="73"/>
      <c r="BB24" s="64"/>
      <c r="BC24" s="73"/>
      <c r="BD24" s="66"/>
      <c r="BE24" s="73"/>
      <c r="BF24" s="65"/>
      <c r="BG24" s="69"/>
      <c r="BH24" s="70"/>
      <c r="BI24" s="73"/>
      <c r="BJ24" s="74"/>
      <c r="BK24" s="77"/>
      <c r="BL24" s="78"/>
      <c r="BM24" s="13"/>
      <c r="BN24" s="13"/>
      <c r="BO24" s="82"/>
      <c r="BP24" s="83"/>
      <c r="BQ24" s="82"/>
      <c r="BR24" s="83"/>
      <c r="BS24" s="89"/>
      <c r="BT24" s="90"/>
      <c r="BU24" s="89"/>
      <c r="BV24" s="90"/>
      <c r="BW24" s="87"/>
      <c r="BX24" s="92"/>
      <c r="BY24" s="89"/>
      <c r="BZ24" s="83"/>
      <c r="CA24" s="84"/>
      <c r="CB24" s="208"/>
      <c r="CC24" s="211"/>
    </row>
    <row r="25" spans="1:81" x14ac:dyDescent="0.25">
      <c r="C25" s="25"/>
      <c r="D25" s="25"/>
      <c r="E25" s="25"/>
      <c r="F25" s="25"/>
      <c r="G25" s="5"/>
      <c r="Q25" s="5"/>
      <c r="R25" s="5"/>
      <c r="S25" s="25"/>
      <c r="T25" s="25"/>
      <c r="U25" s="25"/>
      <c r="V25" s="5"/>
      <c r="W25" s="2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433" t="s">
        <v>58</v>
      </c>
      <c r="AJ25" s="229"/>
      <c r="AK25" s="229"/>
      <c r="AL25" s="229"/>
      <c r="AM25" s="434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25"/>
      <c r="AZ25" s="5"/>
      <c r="BA25" s="5"/>
      <c r="BB25" s="5"/>
      <c r="BC25" s="5"/>
      <c r="BD25" s="26"/>
      <c r="BE25" s="5"/>
      <c r="BF25" s="26"/>
      <c r="BG25" s="5"/>
      <c r="BH25" s="5"/>
      <c r="BI25" s="2290"/>
      <c r="BJ25" s="2290"/>
      <c r="BK25" s="5"/>
      <c r="BM25" s="5"/>
      <c r="BS25" s="5"/>
      <c r="BT25" s="5"/>
      <c r="BU25" s="5"/>
      <c r="BV25" s="5"/>
      <c r="BW25" s="5"/>
      <c r="BX25" s="5"/>
      <c r="BY25" s="5"/>
    </row>
    <row r="26" spans="1:81" x14ac:dyDescent="0.25">
      <c r="B26" s="5"/>
      <c r="C26" s="5"/>
      <c r="D26" s="5"/>
      <c r="E26" s="5"/>
      <c r="F26" s="2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428" t="s">
        <v>56</v>
      </c>
      <c r="T26" s="429"/>
      <c r="U26" s="429"/>
      <c r="V26" s="429"/>
      <c r="W26" s="430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435" t="s">
        <v>59</v>
      </c>
      <c r="AJ26" s="444"/>
      <c r="AK26" s="444"/>
      <c r="AL26" s="444"/>
      <c r="AM26" s="436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M26" s="5"/>
      <c r="BS26" s="5"/>
      <c r="BT26" s="5"/>
      <c r="BU26" s="2159"/>
      <c r="BV26" s="2159"/>
      <c r="BW26" s="2159"/>
      <c r="BX26" s="2159"/>
      <c r="BY26" s="5"/>
    </row>
    <row r="27" spans="1:81" x14ac:dyDescent="0.25">
      <c r="B27" s="5"/>
      <c r="C27" s="5"/>
      <c r="D27" s="5"/>
      <c r="E27" s="5"/>
      <c r="F27" s="45" t="s">
        <v>56</v>
      </c>
      <c r="G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431" t="s">
        <v>57</v>
      </c>
      <c r="T27" s="443"/>
      <c r="U27" s="443"/>
      <c r="V27" s="443"/>
      <c r="W27" s="432"/>
      <c r="X27" s="5"/>
      <c r="Y27" s="5"/>
      <c r="Z27" s="5"/>
      <c r="AA27" s="5"/>
      <c r="AB27" s="5"/>
      <c r="AC27" s="427" t="s">
        <v>260</v>
      </c>
      <c r="AD27" s="5"/>
      <c r="AE27" s="5"/>
      <c r="AF27" s="5"/>
      <c r="AG27" s="5"/>
      <c r="AH27" s="5"/>
      <c r="AI27" s="437" t="s">
        <v>261</v>
      </c>
      <c r="AJ27" s="258"/>
      <c r="AK27" s="258"/>
      <c r="AL27" s="258"/>
      <c r="AM27" s="438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45" t="s">
        <v>56</v>
      </c>
      <c r="BD27" s="5"/>
      <c r="BF27" s="5"/>
      <c r="BG27" s="5"/>
      <c r="BH27" s="5"/>
      <c r="BI27" s="5"/>
      <c r="BJ27" s="5"/>
      <c r="BK27" s="5"/>
      <c r="BM27" s="5"/>
      <c r="BR27" s="45" t="s">
        <v>56</v>
      </c>
      <c r="BS27" s="5"/>
      <c r="BU27" s="5"/>
      <c r="BV27" s="5"/>
      <c r="BW27" s="5"/>
      <c r="BX27" s="5"/>
      <c r="BY27" s="5"/>
    </row>
    <row r="28" spans="1:81" ht="15.75" thickBot="1" x14ac:dyDescent="0.3">
      <c r="B28" s="5"/>
      <c r="C28" s="5"/>
      <c r="D28" s="5"/>
      <c r="E28" s="5"/>
      <c r="F28" s="231" t="s">
        <v>57</v>
      </c>
      <c r="G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433" t="s">
        <v>58</v>
      </c>
      <c r="T28" s="229"/>
      <c r="U28" s="229"/>
      <c r="V28" s="229"/>
      <c r="W28" s="434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439" t="s">
        <v>262</v>
      </c>
      <c r="AJ28" s="440"/>
      <c r="AK28" s="440"/>
      <c r="AL28" s="440"/>
      <c r="AM28" s="441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108" t="s">
        <v>57</v>
      </c>
      <c r="BD28" s="5"/>
      <c r="BF28" s="5"/>
      <c r="BG28" s="5"/>
      <c r="BH28" s="5"/>
      <c r="BI28" s="5"/>
      <c r="BJ28" s="5"/>
      <c r="BK28" s="5"/>
      <c r="BM28" s="5"/>
      <c r="BR28" s="108" t="s">
        <v>57</v>
      </c>
      <c r="BS28" s="5"/>
      <c r="BU28" s="5"/>
      <c r="BV28" s="5"/>
      <c r="BW28" s="5"/>
      <c r="BX28" s="5"/>
      <c r="BY28" s="5"/>
    </row>
    <row r="29" spans="1:81" ht="15.75" thickBot="1" x14ac:dyDescent="0.3">
      <c r="B29" s="194"/>
      <c r="C29" s="5"/>
      <c r="D29" s="5"/>
      <c r="E29" s="5"/>
      <c r="F29" s="230" t="s">
        <v>58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435" t="s">
        <v>59</v>
      </c>
      <c r="T29" s="444"/>
      <c r="U29" s="444"/>
      <c r="V29" s="444"/>
      <c r="W29" s="436"/>
      <c r="X29" s="2290"/>
      <c r="Y29" s="2290"/>
      <c r="Z29" s="2290"/>
      <c r="AA29" s="2290"/>
      <c r="AB29" s="2290"/>
      <c r="AC29" s="2290"/>
      <c r="AD29" s="2290"/>
      <c r="AE29" s="2290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109" t="s">
        <v>58</v>
      </c>
      <c r="BM29" s="5"/>
      <c r="BR29" s="109" t="s">
        <v>58</v>
      </c>
      <c r="BU29" s="5"/>
      <c r="BV29" s="5"/>
      <c r="BW29" s="5"/>
      <c r="BX29" s="5"/>
      <c r="BY29" s="5"/>
    </row>
    <row r="30" spans="1:81" x14ac:dyDescent="0.25">
      <c r="B30" s="5"/>
      <c r="C30" s="5"/>
      <c r="D30" s="5"/>
      <c r="E30" s="5"/>
      <c r="F30" s="229" t="s">
        <v>59</v>
      </c>
      <c r="G30" s="229"/>
      <c r="H30" s="229"/>
      <c r="I30" s="5"/>
      <c r="J30" s="5"/>
      <c r="K30" s="5"/>
      <c r="L30" s="5"/>
      <c r="M30" s="5"/>
      <c r="N30" s="5"/>
      <c r="O30" s="5"/>
      <c r="P30" s="5"/>
      <c r="Q30" s="5"/>
      <c r="R30" s="5"/>
      <c r="S30" s="437" t="s">
        <v>261</v>
      </c>
      <c r="T30" s="258"/>
      <c r="U30" s="258"/>
      <c r="V30" s="258"/>
      <c r="W30" s="438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110" t="s">
        <v>59</v>
      </c>
      <c r="BD30" s="110"/>
      <c r="BE30" s="110"/>
      <c r="BM30" s="5"/>
      <c r="BR30" s="110" t="s">
        <v>59</v>
      </c>
      <c r="BS30" s="110"/>
      <c r="BT30" s="110"/>
    </row>
    <row r="31" spans="1:81" x14ac:dyDescent="0.25">
      <c r="A31" s="215" t="s">
        <v>263</v>
      </c>
      <c r="B31" s="216" t="s">
        <v>264</v>
      </c>
      <c r="C31" s="5"/>
      <c r="D31" s="5"/>
      <c r="E31" s="5"/>
      <c r="F31" s="232" t="s">
        <v>132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439" t="s">
        <v>262</v>
      </c>
      <c r="T31" s="440"/>
      <c r="U31" s="440"/>
      <c r="V31" s="440"/>
      <c r="W31" s="441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</row>
    <row r="32" spans="1:81" x14ac:dyDescent="0.25">
      <c r="A32" s="215" t="s">
        <v>265</v>
      </c>
      <c r="B32" s="216" t="s">
        <v>266</v>
      </c>
      <c r="F32" s="258" t="s">
        <v>267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</row>
    <row r="33" spans="1:54" x14ac:dyDescent="0.25">
      <c r="F33" s="259" t="s">
        <v>268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</row>
    <row r="34" spans="1:54" x14ac:dyDescent="0.25">
      <c r="A34" t="s">
        <v>269</v>
      </c>
      <c r="F34" s="233" t="s">
        <v>270</v>
      </c>
      <c r="G34" s="233"/>
      <c r="H34" s="233"/>
      <c r="I34" s="233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</row>
    <row r="35" spans="1:54" x14ac:dyDescent="0.25">
      <c r="A35" t="s">
        <v>271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</row>
    <row r="36" spans="1:54" x14ac:dyDescent="0.25"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</row>
    <row r="37" spans="1:54" x14ac:dyDescent="0.25"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</row>
    <row r="38" spans="1:54" x14ac:dyDescent="0.25"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</row>
    <row r="39" spans="1:54" x14ac:dyDescent="0.25"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</row>
    <row r="40" spans="1:54" x14ac:dyDescent="0.25"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</row>
    <row r="41" spans="1:54" x14ac:dyDescent="0.25"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</row>
    <row r="42" spans="1:54" x14ac:dyDescent="0.25"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</row>
    <row r="43" spans="1:54" x14ac:dyDescent="0.25"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</row>
    <row r="44" spans="1:54" x14ac:dyDescent="0.25"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</row>
    <row r="45" spans="1:54" x14ac:dyDescent="0.25"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</row>
    <row r="46" spans="1:54" x14ac:dyDescent="0.25"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 spans="1:54" x14ac:dyDescent="0.25"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 spans="1:54" x14ac:dyDescent="0.25"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 spans="13:50" x14ac:dyDescent="0.25"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 spans="13:50" x14ac:dyDescent="0.25"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 spans="13:50" x14ac:dyDescent="0.25"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 spans="13:50" x14ac:dyDescent="0.25"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 spans="13:50" x14ac:dyDescent="0.25"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 spans="13:50" x14ac:dyDescent="0.25"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78" spans="64:64" x14ac:dyDescent="0.25">
      <c r="BL78" s="12"/>
    </row>
  </sheetData>
  <mergeCells count="98">
    <mergeCell ref="BU26:BX26"/>
    <mergeCell ref="BI25:BJ25"/>
    <mergeCell ref="BY4:BZ4"/>
    <mergeCell ref="CA4:CB4"/>
    <mergeCell ref="BO4:BP4"/>
    <mergeCell ref="BQ4:BR4"/>
    <mergeCell ref="BS4:BT4"/>
    <mergeCell ref="BU4:BV4"/>
    <mergeCell ref="BW4:BX4"/>
    <mergeCell ref="BM1:CB1"/>
    <mergeCell ref="BN2:BN3"/>
    <mergeCell ref="BO2:BQ2"/>
    <mergeCell ref="BS2:BU2"/>
    <mergeCell ref="BV2:CB2"/>
    <mergeCell ref="BO3:BP3"/>
    <mergeCell ref="BQ3:BR3"/>
    <mergeCell ref="BS3:BT3"/>
    <mergeCell ref="BU3:BV3"/>
    <mergeCell ref="BW3:BX3"/>
    <mergeCell ref="BY3:BZ3"/>
    <mergeCell ref="CA3:CB3"/>
    <mergeCell ref="BC4:BD4"/>
    <mergeCell ref="BE4:BF4"/>
    <mergeCell ref="BG4:BH4"/>
    <mergeCell ref="BI4:BJ4"/>
    <mergeCell ref="BK4:BL4"/>
    <mergeCell ref="AS4:AT4"/>
    <mergeCell ref="AU4:AV4"/>
    <mergeCell ref="AW1:BL1"/>
    <mergeCell ref="AX2:AX3"/>
    <mergeCell ref="AY2:BA2"/>
    <mergeCell ref="BC2:BE2"/>
    <mergeCell ref="BF2:BL2"/>
    <mergeCell ref="AY3:AZ3"/>
    <mergeCell ref="BA3:BB3"/>
    <mergeCell ref="BC3:BD3"/>
    <mergeCell ref="BE3:BF3"/>
    <mergeCell ref="BG3:BH3"/>
    <mergeCell ref="BI3:BJ3"/>
    <mergeCell ref="BK3:BL3"/>
    <mergeCell ref="AY4:AZ4"/>
    <mergeCell ref="BA4:BB4"/>
    <mergeCell ref="AI4:AJ4"/>
    <mergeCell ref="AK4:AL4"/>
    <mergeCell ref="AM4:AN4"/>
    <mergeCell ref="AO4:AP4"/>
    <mergeCell ref="AQ4:AR4"/>
    <mergeCell ref="AH2:AH3"/>
    <mergeCell ref="AI2:AK2"/>
    <mergeCell ref="AM2:AO2"/>
    <mergeCell ref="AP2:AV2"/>
    <mergeCell ref="AI3:AJ3"/>
    <mergeCell ref="AK3:AL3"/>
    <mergeCell ref="AM3:AN3"/>
    <mergeCell ref="AO3:AP3"/>
    <mergeCell ref="AQ3:AR3"/>
    <mergeCell ref="AS3:AT3"/>
    <mergeCell ref="AU3:AV3"/>
    <mergeCell ref="AG1:AV1"/>
    <mergeCell ref="M4:N4"/>
    <mergeCell ref="O4:P4"/>
    <mergeCell ref="W4:X4"/>
    <mergeCell ref="Y4:Z4"/>
    <mergeCell ref="AA4:AB4"/>
    <mergeCell ref="U4:V4"/>
    <mergeCell ref="S4:T4"/>
    <mergeCell ref="A1:P1"/>
    <mergeCell ref="B2:B3"/>
    <mergeCell ref="C2:E2"/>
    <mergeCell ref="G2:I2"/>
    <mergeCell ref="J2:P2"/>
    <mergeCell ref="C3:D3"/>
    <mergeCell ref="E3:F3"/>
    <mergeCell ref="G3:H3"/>
    <mergeCell ref="C4:D4"/>
    <mergeCell ref="E4:F4"/>
    <mergeCell ref="G4:H4"/>
    <mergeCell ref="I4:J4"/>
    <mergeCell ref="K4:L4"/>
    <mergeCell ref="I3:J3"/>
    <mergeCell ref="K3:L3"/>
    <mergeCell ref="M3:N3"/>
    <mergeCell ref="O3:P3"/>
    <mergeCell ref="X29:AE29"/>
    <mergeCell ref="R2:R3"/>
    <mergeCell ref="Q1:AF1"/>
    <mergeCell ref="U3:V3"/>
    <mergeCell ref="S3:T3"/>
    <mergeCell ref="AC4:AD4"/>
    <mergeCell ref="AE4:AF4"/>
    <mergeCell ref="Z2:AF2"/>
    <mergeCell ref="W2:Y2"/>
    <mergeCell ref="S2:U2"/>
    <mergeCell ref="AE3:AF3"/>
    <mergeCell ref="AC3:AD3"/>
    <mergeCell ref="AA3:AB3"/>
    <mergeCell ref="Y3:Z3"/>
    <mergeCell ref="W3:X3"/>
  </mergeCells>
  <pageMargins left="0.25" right="0.25" top="0.75" bottom="0.75" header="0.3" footer="0.3"/>
  <pageSetup paperSize="9" scale="93" orientation="landscape" r:id="rId1"/>
  <headerFooter>
    <oddHeader>&amp;R&amp;"Calibri"&amp;10&amp;K000000 Público&amp;1#_x000D_</oddHeader>
    <oddFooter>&amp;L_x000D_&amp;1#&amp;"Calibri"&amp;10&amp;K000000 Público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0CD5C-D9EA-4CD5-B2AD-C286118282B9}">
  <dimension ref="B1:F20"/>
  <sheetViews>
    <sheetView workbookViewId="0">
      <selection activeCell="I43" sqref="I43"/>
    </sheetView>
  </sheetViews>
  <sheetFormatPr baseColWidth="10" defaultColWidth="11.42578125" defaultRowHeight="15" x14ac:dyDescent="0.25"/>
  <cols>
    <col min="6" max="6" width="25.140625" customWidth="1"/>
  </cols>
  <sheetData>
    <row r="1" spans="2:6" ht="15.75" thickBot="1" x14ac:dyDescent="0.3"/>
    <row r="2" spans="2:6" ht="15.75" thickBot="1" x14ac:dyDescent="0.3">
      <c r="B2" s="2303" t="s">
        <v>272</v>
      </c>
      <c r="C2" s="2304"/>
      <c r="D2" s="2305" t="s">
        <v>273</v>
      </c>
      <c r="E2" s="2304"/>
      <c r="F2" s="115" t="s">
        <v>274</v>
      </c>
    </row>
    <row r="3" spans="2:6" ht="15.75" thickBot="1" x14ac:dyDescent="0.3">
      <c r="B3" s="116" t="s">
        <v>275</v>
      </c>
      <c r="C3" s="117" t="s">
        <v>276</v>
      </c>
      <c r="D3" s="116" t="s">
        <v>275</v>
      </c>
      <c r="E3" s="118" t="s">
        <v>276</v>
      </c>
      <c r="F3" s="119"/>
    </row>
    <row r="4" spans="2:6" x14ac:dyDescent="0.25">
      <c r="B4" s="120">
        <v>0.58333333333333337</v>
      </c>
      <c r="C4" s="121">
        <v>0.91111111111111109</v>
      </c>
      <c r="D4" s="120">
        <v>0.58333333333333337</v>
      </c>
      <c r="E4" s="122">
        <v>0.91666666666666663</v>
      </c>
      <c r="F4" s="123">
        <f>8*1</f>
        <v>8</v>
      </c>
    </row>
    <row r="5" spans="2:6" x14ac:dyDescent="0.25">
      <c r="B5" s="124">
        <v>0.60416666666666663</v>
      </c>
      <c r="C5" s="125">
        <v>0.9291666666666667</v>
      </c>
      <c r="D5" s="124">
        <v>0.60416666666666663</v>
      </c>
      <c r="E5" s="126">
        <v>0.9375</v>
      </c>
      <c r="F5" s="127">
        <v>12</v>
      </c>
    </row>
    <row r="6" spans="2:6" x14ac:dyDescent="0.25">
      <c r="B6" s="128">
        <v>0.625</v>
      </c>
      <c r="C6" s="129">
        <v>0.9472222222222223</v>
      </c>
      <c r="D6" s="128">
        <v>0.625</v>
      </c>
      <c r="E6" s="130">
        <v>0.95833333333333337</v>
      </c>
      <c r="F6" s="131">
        <f>8*2</f>
        <v>16</v>
      </c>
    </row>
    <row r="7" spans="2:6" x14ac:dyDescent="0.25">
      <c r="B7" s="132">
        <v>0.64583333333333337</v>
      </c>
      <c r="C7" s="133">
        <v>0.96527777777777779</v>
      </c>
      <c r="D7" s="132">
        <v>0.64583333333333337</v>
      </c>
      <c r="E7" s="134">
        <v>0.97916666666666663</v>
      </c>
      <c r="F7" s="135">
        <v>20</v>
      </c>
    </row>
    <row r="8" spans="2:6" x14ac:dyDescent="0.25">
      <c r="B8" s="128">
        <v>0.66666666666666663</v>
      </c>
      <c r="C8" s="129">
        <v>0.98333333333333339</v>
      </c>
      <c r="D8" s="128">
        <v>0.66666666666666663</v>
      </c>
      <c r="E8" s="130">
        <v>0</v>
      </c>
      <c r="F8" s="131">
        <f>8*3</f>
        <v>24</v>
      </c>
    </row>
    <row r="9" spans="2:6" x14ac:dyDescent="0.25">
      <c r="B9" s="128">
        <v>0.67708333333333337</v>
      </c>
      <c r="C9" s="129">
        <v>0.99236111111111114</v>
      </c>
      <c r="D9" s="128">
        <v>0.67708333333333337</v>
      </c>
      <c r="E9" s="130">
        <v>1.0416666666666666E-2</v>
      </c>
      <c r="F9" s="131">
        <f>8*3+2</f>
        <v>26</v>
      </c>
    </row>
    <row r="10" spans="2:6" x14ac:dyDescent="0.25">
      <c r="B10" s="132">
        <v>0.6875</v>
      </c>
      <c r="C10" s="133">
        <v>2E-3</v>
      </c>
      <c r="D10" s="132">
        <v>0.6875</v>
      </c>
      <c r="E10" s="134">
        <v>2.0833333333333332E-2</v>
      </c>
      <c r="F10" s="135">
        <f>8*3+4</f>
        <v>28</v>
      </c>
    </row>
    <row r="11" spans="2:6" x14ac:dyDescent="0.25">
      <c r="B11" s="128">
        <v>0.70833333333333337</v>
      </c>
      <c r="C11" s="129">
        <v>1.9444444444444445E-2</v>
      </c>
      <c r="D11" s="128">
        <v>0.70833333333333337</v>
      </c>
      <c r="E11" s="130">
        <v>4.1666666666666664E-2</v>
      </c>
      <c r="F11" s="131">
        <f>8*4</f>
        <v>32</v>
      </c>
    </row>
    <row r="12" spans="2:6" x14ac:dyDescent="0.25">
      <c r="B12" s="132">
        <v>0.72916666666666663</v>
      </c>
      <c r="C12" s="133">
        <v>3.7499999999999999E-2</v>
      </c>
      <c r="D12" s="132">
        <v>0.72916666666666663</v>
      </c>
      <c r="E12" s="134">
        <v>6.25E-2</v>
      </c>
      <c r="F12" s="135">
        <v>36</v>
      </c>
    </row>
    <row r="13" spans="2:6" x14ac:dyDescent="0.25">
      <c r="B13" s="128">
        <v>0.75</v>
      </c>
      <c r="C13" s="129">
        <v>5.5555555555555552E-2</v>
      </c>
      <c r="D13" s="128">
        <v>0.75</v>
      </c>
      <c r="E13" s="130">
        <v>8.3333333333333329E-2</v>
      </c>
      <c r="F13" s="131">
        <f>8*5</f>
        <v>40</v>
      </c>
    </row>
    <row r="14" spans="2:6" x14ac:dyDescent="0.25">
      <c r="B14" s="132">
        <v>0.77083333333333337</v>
      </c>
      <c r="C14" s="133">
        <v>7.3611111111111113E-2</v>
      </c>
      <c r="D14" s="132">
        <v>0.77083333333333337</v>
      </c>
      <c r="E14" s="134">
        <v>0.10416666666666667</v>
      </c>
      <c r="F14" s="135">
        <v>44</v>
      </c>
    </row>
    <row r="15" spans="2:6" x14ac:dyDescent="0.25">
      <c r="B15" s="128">
        <v>0.79166666666666663</v>
      </c>
      <c r="C15" s="129">
        <v>9.1666666666666674E-2</v>
      </c>
      <c r="D15" s="128">
        <v>0.79166666666666663</v>
      </c>
      <c r="E15" s="130">
        <v>0.125</v>
      </c>
      <c r="F15" s="131">
        <f>8*6</f>
        <v>48</v>
      </c>
    </row>
    <row r="16" spans="2:6" x14ac:dyDescent="0.25">
      <c r="B16" s="132">
        <v>0.8125</v>
      </c>
      <c r="C16" s="133">
        <v>0.10972222222222222</v>
      </c>
      <c r="D16" s="132">
        <v>0.8125</v>
      </c>
      <c r="E16" s="134">
        <v>0.14583333333333334</v>
      </c>
      <c r="F16" s="135">
        <v>52</v>
      </c>
    </row>
    <row r="17" spans="2:6" x14ac:dyDescent="0.25">
      <c r="B17" s="128">
        <v>0.83333333333333337</v>
      </c>
      <c r="C17" s="129">
        <v>0.1277777777777778</v>
      </c>
      <c r="D17" s="128">
        <v>0.83333333333333337</v>
      </c>
      <c r="E17" s="130">
        <v>0.16666666666666666</v>
      </c>
      <c r="F17" s="131">
        <f>8*7</f>
        <v>56</v>
      </c>
    </row>
    <row r="18" spans="2:6" x14ac:dyDescent="0.25">
      <c r="B18" s="132">
        <v>0.85416666666666663</v>
      </c>
      <c r="C18" s="133">
        <v>0.14583333333333334</v>
      </c>
      <c r="D18" s="132">
        <v>0.85416666666666663</v>
      </c>
      <c r="E18" s="134">
        <v>0.1875</v>
      </c>
      <c r="F18" s="135">
        <v>60</v>
      </c>
    </row>
    <row r="19" spans="2:6" x14ac:dyDescent="0.25">
      <c r="B19" s="128">
        <v>0.875</v>
      </c>
      <c r="C19" s="129">
        <v>0.16388888888888889</v>
      </c>
      <c r="D19" s="128">
        <v>0.875</v>
      </c>
      <c r="E19" s="130">
        <v>0.20833333333333334</v>
      </c>
      <c r="F19" s="131">
        <f>8*8</f>
        <v>64</v>
      </c>
    </row>
    <row r="20" spans="2:6" ht="15.75" thickBot="1" x14ac:dyDescent="0.3">
      <c r="B20" s="136">
        <v>0.89583333333333337</v>
      </c>
      <c r="C20" s="137">
        <v>0.18194444444444444</v>
      </c>
      <c r="D20" s="136">
        <v>0.89583333333333337</v>
      </c>
      <c r="E20" s="138">
        <v>0.22916666666666666</v>
      </c>
      <c r="F20" s="139">
        <v>68</v>
      </c>
    </row>
  </sheetData>
  <mergeCells count="2">
    <mergeCell ref="B2:C2"/>
    <mergeCell ref="D2:E2"/>
  </mergeCells>
  <pageMargins left="0.7" right="0.7" top="0.75" bottom="0.75" header="0.3" footer="0.3"/>
  <pageSetup paperSize="9" orientation="portrait" r:id="rId1"/>
  <headerFooter>
    <oddHeader>&amp;R&amp;"Calibri"&amp;10&amp;K000000 Público&amp;1#_x000D_</oddHeader>
    <oddFooter>&amp;L_x000D_&amp;1#&amp;"Calibri"&amp;10&amp;K000000 Público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E53E7-E1E8-40A9-80E3-9D3131E3860F}">
  <sheetPr>
    <pageSetUpPr fitToPage="1"/>
  </sheetPr>
  <dimension ref="A1:MI60"/>
  <sheetViews>
    <sheetView view="pageBreakPreview" topLeftCell="CS1" zoomScaleNormal="100" zoomScaleSheetLayoutView="100" workbookViewId="0">
      <selection activeCell="CS6" sqref="CS6:DD23"/>
    </sheetView>
  </sheetViews>
  <sheetFormatPr baseColWidth="10" defaultColWidth="9.140625" defaultRowHeight="15" x14ac:dyDescent="0.25"/>
  <cols>
    <col min="1" max="1" width="20.7109375" hidden="1" customWidth="1"/>
    <col min="2" max="16" width="0" hidden="1" customWidth="1"/>
    <col min="17" max="17" width="22" customWidth="1"/>
    <col min="18" max="18" width="6.85546875" bestFit="1" customWidth="1"/>
    <col min="19" max="19" width="7.85546875" customWidth="1"/>
    <col min="20" max="20" width="8.140625" customWidth="1"/>
    <col min="21" max="21" width="7.85546875" customWidth="1"/>
    <col min="22" max="22" width="8.140625" customWidth="1"/>
    <col min="23" max="23" width="8.42578125" customWidth="1"/>
    <col min="24" max="24" width="7.7109375" customWidth="1"/>
    <col min="25" max="25" width="7.140625" customWidth="1"/>
    <col min="26" max="26" width="8.140625" customWidth="1"/>
    <col min="27" max="27" width="7" customWidth="1"/>
    <col min="28" max="29" width="7.140625" customWidth="1"/>
    <col min="30" max="30" width="8" customWidth="1"/>
    <col min="31" max="31" width="7.140625" customWidth="1"/>
    <col min="32" max="32" width="8" customWidth="1"/>
    <col min="33" max="33" width="23.28515625" customWidth="1"/>
    <col min="34" max="47" width="7.140625" customWidth="1"/>
    <col min="48" max="48" width="6.5703125" customWidth="1"/>
    <col min="49" max="49" width="20.7109375" customWidth="1"/>
    <col min="50" max="57" width="7.140625" customWidth="1"/>
    <col min="58" max="58" width="7" customWidth="1"/>
    <col min="59" max="64" width="7.140625" customWidth="1"/>
    <col min="65" max="65" width="20.7109375" customWidth="1"/>
    <col min="66" max="72" width="7.140625" customWidth="1"/>
    <col min="73" max="73" width="7" customWidth="1"/>
    <col min="74" max="74" width="7.140625" customWidth="1"/>
    <col min="75" max="75" width="7.28515625" customWidth="1"/>
    <col min="76" max="77" width="7.140625" customWidth="1"/>
    <col min="78" max="78" width="7.28515625" customWidth="1"/>
    <col min="79" max="80" width="7.140625" customWidth="1"/>
    <col min="81" max="81" width="21.140625" customWidth="1"/>
    <col min="82" max="82" width="6.42578125" customWidth="1"/>
    <col min="83" max="83" width="7.5703125" customWidth="1"/>
    <col min="84" max="84" width="7.140625" customWidth="1"/>
    <col min="85" max="86" width="7.5703125" customWidth="1"/>
    <col min="87" max="87" width="7.42578125" customWidth="1"/>
    <col min="88" max="88" width="7.140625" customWidth="1"/>
    <col min="89" max="89" width="7.7109375" customWidth="1"/>
    <col min="90" max="90" width="7.5703125" customWidth="1"/>
    <col min="91" max="91" width="7.28515625" customWidth="1"/>
    <col min="92" max="92" width="7.140625" customWidth="1"/>
    <col min="93" max="93" width="7.42578125" customWidth="1"/>
    <col min="94" max="95" width="7.140625" customWidth="1"/>
    <col min="96" max="96" width="7.28515625" customWidth="1"/>
    <col min="97" max="97" width="19.5703125" bestFit="1" customWidth="1"/>
  </cols>
  <sheetData>
    <row r="1" spans="1:112" ht="16.5" thickBot="1" x14ac:dyDescent="0.3">
      <c r="A1" s="2181" t="s">
        <v>126</v>
      </c>
      <c r="B1" s="2181"/>
      <c r="C1" s="2181"/>
      <c r="D1" s="2181"/>
      <c r="E1" s="2181"/>
      <c r="F1" s="2181"/>
      <c r="G1" s="2181"/>
      <c r="H1" s="2181"/>
      <c r="I1" s="2181"/>
      <c r="J1" s="2181"/>
      <c r="K1" s="2181"/>
      <c r="L1" s="2181"/>
      <c r="M1" s="2181"/>
      <c r="N1" s="2181"/>
      <c r="O1" s="2181"/>
      <c r="P1" s="2181"/>
      <c r="Q1" s="2306" t="s">
        <v>126</v>
      </c>
      <c r="R1" s="2307"/>
      <c r="S1" s="2307"/>
      <c r="T1" s="2307"/>
      <c r="U1" s="2307"/>
      <c r="V1" s="2307"/>
      <c r="W1" s="2307"/>
      <c r="X1" s="2307"/>
      <c r="Y1" s="2307"/>
      <c r="Z1" s="2307"/>
      <c r="AA1" s="2307"/>
      <c r="AB1" s="2307"/>
      <c r="AC1" s="2307"/>
      <c r="AD1" s="2307"/>
      <c r="AE1" s="2307"/>
      <c r="AF1" s="2308"/>
      <c r="AG1" s="2219" t="s">
        <v>126</v>
      </c>
      <c r="AH1" s="2219"/>
      <c r="AI1" s="2219"/>
      <c r="AJ1" s="2219"/>
      <c r="AK1" s="2219"/>
      <c r="AL1" s="2219"/>
      <c r="AM1" s="2219"/>
      <c r="AN1" s="2219"/>
      <c r="AO1" s="2219"/>
      <c r="AP1" s="2219"/>
      <c r="AQ1" s="2219"/>
      <c r="AR1" s="2219"/>
      <c r="AS1" s="2219"/>
      <c r="AT1" s="2219"/>
      <c r="AU1" s="2219"/>
      <c r="AV1" s="2219"/>
      <c r="AW1" s="2219" t="s">
        <v>126</v>
      </c>
      <c r="AX1" s="2219"/>
      <c r="AY1" s="2219"/>
      <c r="AZ1" s="2219"/>
      <c r="BA1" s="2219"/>
      <c r="BB1" s="2219"/>
      <c r="BC1" s="2219"/>
      <c r="BD1" s="2219"/>
      <c r="BE1" s="2219"/>
      <c r="BF1" s="2219"/>
      <c r="BG1" s="2219"/>
      <c r="BH1" s="2219"/>
      <c r="BI1" s="2219"/>
      <c r="BJ1" s="2219"/>
      <c r="BK1" s="2219"/>
      <c r="BL1" s="2219"/>
      <c r="BM1" s="2181" t="s">
        <v>126</v>
      </c>
      <c r="BN1" s="2181"/>
      <c r="BO1" s="2181"/>
      <c r="BP1" s="2181"/>
      <c r="BQ1" s="2181"/>
      <c r="BR1" s="2181"/>
      <c r="BS1" s="2181"/>
      <c r="BT1" s="2181"/>
      <c r="BU1" s="2181"/>
      <c r="BV1" s="2181"/>
      <c r="BW1" s="2181"/>
      <c r="BX1" s="2181"/>
      <c r="BY1" s="2181"/>
      <c r="BZ1" s="2181"/>
      <c r="CA1" s="2181"/>
      <c r="CB1" s="2181"/>
      <c r="CC1" s="2306" t="s">
        <v>126</v>
      </c>
      <c r="CD1" s="2307"/>
      <c r="CE1" s="2307"/>
      <c r="CF1" s="2307"/>
      <c r="CG1" s="2307"/>
      <c r="CH1" s="2307"/>
      <c r="CI1" s="2307"/>
      <c r="CJ1" s="2307"/>
      <c r="CK1" s="2307"/>
      <c r="CL1" s="2307"/>
      <c r="CM1" s="2307"/>
      <c r="CN1" s="2307"/>
      <c r="CO1" s="2307"/>
      <c r="CP1" s="2307"/>
      <c r="CQ1" s="2307"/>
      <c r="CR1" s="2308"/>
      <c r="CS1" s="2306" t="s">
        <v>126</v>
      </c>
      <c r="CT1" s="2307"/>
      <c r="CU1" s="2307"/>
      <c r="CV1" s="2307"/>
      <c r="CW1" s="2307"/>
      <c r="CX1" s="2307"/>
      <c r="CY1" s="2307"/>
      <c r="CZ1" s="2307"/>
      <c r="DA1" s="2307"/>
      <c r="DB1" s="2307"/>
      <c r="DC1" s="2307"/>
      <c r="DD1" s="2307"/>
      <c r="DE1" s="2307"/>
      <c r="DF1" s="2307"/>
      <c r="DG1" s="2307"/>
      <c r="DH1" s="2308"/>
    </row>
    <row r="2" spans="1:112" ht="15.75" thickBot="1" x14ac:dyDescent="0.3">
      <c r="A2" s="1" t="s">
        <v>7</v>
      </c>
      <c r="B2" s="2172"/>
      <c r="C2" s="2220">
        <v>45652</v>
      </c>
      <c r="D2" s="2220"/>
      <c r="E2" s="2220"/>
      <c r="F2" s="942" t="s">
        <v>3</v>
      </c>
      <c r="G2" s="2221">
        <f>C2+6</f>
        <v>45658</v>
      </c>
      <c r="H2" s="2221"/>
      <c r="I2" s="2221"/>
      <c r="J2" s="2191" t="s">
        <v>127</v>
      </c>
      <c r="K2" s="2191"/>
      <c r="L2" s="2191"/>
      <c r="M2" s="2191"/>
      <c r="N2" s="2191"/>
      <c r="O2" s="2191"/>
      <c r="P2" s="2191"/>
      <c r="Q2" s="1770" t="s">
        <v>88</v>
      </c>
      <c r="R2" s="2183"/>
      <c r="S2" s="2185">
        <v>46198</v>
      </c>
      <c r="T2" s="2186"/>
      <c r="U2" s="2187"/>
      <c r="V2" s="942" t="s">
        <v>3</v>
      </c>
      <c r="W2" s="2188">
        <f>S2+6</f>
        <v>46204</v>
      </c>
      <c r="X2" s="2189"/>
      <c r="Y2" s="2190"/>
      <c r="Z2" s="2191" t="s">
        <v>130</v>
      </c>
      <c r="AA2" s="2309"/>
      <c r="AB2" s="2309"/>
      <c r="AC2" s="2309"/>
      <c r="AD2" s="2309"/>
      <c r="AE2" s="2309"/>
      <c r="AF2" s="2310"/>
      <c r="AG2" s="1014" t="s">
        <v>5</v>
      </c>
      <c r="AH2" s="2214"/>
      <c r="AI2" s="2216">
        <v>46205</v>
      </c>
      <c r="AJ2" s="2217"/>
      <c r="AK2" s="2218"/>
      <c r="AL2" s="1015" t="s">
        <v>3</v>
      </c>
      <c r="AM2" s="2216">
        <f>AI2+6</f>
        <v>46211</v>
      </c>
      <c r="AN2" s="2217"/>
      <c r="AO2" s="2218"/>
      <c r="AP2" s="2191" t="s">
        <v>129</v>
      </c>
      <c r="AQ2" s="2191"/>
      <c r="AR2" s="2191"/>
      <c r="AS2" s="2191"/>
      <c r="AT2" s="2191"/>
      <c r="AU2" s="2191"/>
      <c r="AV2" s="2192"/>
      <c r="AW2" s="1014" t="s">
        <v>5</v>
      </c>
      <c r="AX2" s="2214"/>
      <c r="AY2" s="2216">
        <v>46205</v>
      </c>
      <c r="AZ2" s="2217"/>
      <c r="BA2" s="2218"/>
      <c r="BB2" s="1015" t="s">
        <v>3</v>
      </c>
      <c r="BC2" s="2216">
        <f>AY2+6</f>
        <v>46211</v>
      </c>
      <c r="BD2" s="2217"/>
      <c r="BE2" s="2218"/>
      <c r="BF2" s="2191" t="s">
        <v>129</v>
      </c>
      <c r="BG2" s="2191"/>
      <c r="BH2" s="2191"/>
      <c r="BI2" s="2191"/>
      <c r="BJ2" s="2191"/>
      <c r="BK2" s="2191"/>
      <c r="BL2" s="2192"/>
      <c r="BM2" s="1" t="s">
        <v>87</v>
      </c>
      <c r="BN2" s="2210"/>
      <c r="BO2" s="2224">
        <v>46191</v>
      </c>
      <c r="BP2" s="2186"/>
      <c r="BQ2" s="2187"/>
      <c r="BR2" s="942" t="s">
        <v>3</v>
      </c>
      <c r="BS2" s="2188">
        <f>BO2+6</f>
        <v>46197</v>
      </c>
      <c r="BT2" s="2189"/>
      <c r="BU2" s="2190"/>
      <c r="BV2" s="2191" t="s">
        <v>130</v>
      </c>
      <c r="BW2" s="2191"/>
      <c r="BX2" s="2191"/>
      <c r="BY2" s="2191"/>
      <c r="BZ2" s="2191"/>
      <c r="CA2" s="2191"/>
      <c r="CB2" s="2191"/>
      <c r="CC2" s="1770" t="s">
        <v>88</v>
      </c>
      <c r="CD2" s="2183"/>
      <c r="CE2" s="2185">
        <v>46198</v>
      </c>
      <c r="CF2" s="2186"/>
      <c r="CG2" s="2187"/>
      <c r="CH2" s="942" t="s">
        <v>3</v>
      </c>
      <c r="CI2" s="2188">
        <f>CE2+6</f>
        <v>46204</v>
      </c>
      <c r="CJ2" s="2189"/>
      <c r="CK2" s="2190"/>
      <c r="CL2" s="2191" t="s">
        <v>130</v>
      </c>
      <c r="CM2" s="2191"/>
      <c r="CN2" s="2191"/>
      <c r="CO2" s="2191"/>
      <c r="CP2" s="2191"/>
      <c r="CQ2" s="2191"/>
      <c r="CR2" s="2311"/>
      <c r="CS2" s="1770" t="s">
        <v>88</v>
      </c>
      <c r="CT2" s="2183"/>
      <c r="CU2" s="2185">
        <v>46198</v>
      </c>
      <c r="CV2" s="2186"/>
      <c r="CW2" s="2187"/>
      <c r="CX2" s="942" t="s">
        <v>3</v>
      </c>
      <c r="CY2" s="2188">
        <f>CU2+6</f>
        <v>46204</v>
      </c>
      <c r="CZ2" s="2189"/>
      <c r="DA2" s="2190"/>
      <c r="DB2" s="2191" t="s">
        <v>130</v>
      </c>
      <c r="DC2" s="2309"/>
      <c r="DD2" s="2309"/>
      <c r="DE2" s="2309"/>
      <c r="DF2" s="2309"/>
      <c r="DG2" s="2309"/>
      <c r="DH2" s="2310"/>
    </row>
    <row r="3" spans="1:112" ht="15.75" thickBot="1" x14ac:dyDescent="0.3">
      <c r="A3" s="943"/>
      <c r="B3" s="2172"/>
      <c r="C3" s="2222" t="s">
        <v>9</v>
      </c>
      <c r="D3" s="2222"/>
      <c r="E3" s="2195" t="s">
        <v>10</v>
      </c>
      <c r="F3" s="2195"/>
      <c r="G3" s="2195" t="s">
        <v>11</v>
      </c>
      <c r="H3" s="2195"/>
      <c r="I3" s="2223" t="s">
        <v>12</v>
      </c>
      <c r="J3" s="2223"/>
      <c r="K3" s="2195" t="s">
        <v>13</v>
      </c>
      <c r="L3" s="2195"/>
      <c r="M3" s="2208" t="s">
        <v>14</v>
      </c>
      <c r="N3" s="2208"/>
      <c r="O3" s="2195" t="s">
        <v>15</v>
      </c>
      <c r="P3" s="2209"/>
      <c r="Q3" s="1771"/>
      <c r="R3" s="2184"/>
      <c r="S3" s="2193" t="s">
        <v>9</v>
      </c>
      <c r="T3" s="2194"/>
      <c r="U3" s="2195" t="s">
        <v>10</v>
      </c>
      <c r="V3" s="2194"/>
      <c r="W3" s="2195" t="s">
        <v>11</v>
      </c>
      <c r="X3" s="2194"/>
      <c r="Y3" s="2195" t="s">
        <v>12</v>
      </c>
      <c r="Z3" s="2316"/>
      <c r="AA3" s="2317" t="s">
        <v>13</v>
      </c>
      <c r="AB3" s="2318"/>
      <c r="AC3" s="2312" t="s">
        <v>14</v>
      </c>
      <c r="AD3" s="2319"/>
      <c r="AE3" s="2312" t="s">
        <v>15</v>
      </c>
      <c r="AF3" s="2313"/>
      <c r="AG3" s="1017"/>
      <c r="AH3" s="2215"/>
      <c r="AI3" s="2195" t="s">
        <v>9</v>
      </c>
      <c r="AJ3" s="2194"/>
      <c r="AK3" s="2195" t="s">
        <v>10</v>
      </c>
      <c r="AL3" s="2194"/>
      <c r="AM3" s="2195" t="s">
        <v>11</v>
      </c>
      <c r="AN3" s="2194"/>
      <c r="AO3" s="2195" t="s">
        <v>12</v>
      </c>
      <c r="AP3" s="2194"/>
      <c r="AQ3" s="2195" t="s">
        <v>13</v>
      </c>
      <c r="AR3" s="2194"/>
      <c r="AS3" s="2195" t="s">
        <v>14</v>
      </c>
      <c r="AT3" s="2194"/>
      <c r="AU3" s="2195" t="s">
        <v>15</v>
      </c>
      <c r="AV3" s="2194"/>
      <c r="AW3" s="1017"/>
      <c r="AX3" s="2215"/>
      <c r="AY3" s="2195" t="s">
        <v>9</v>
      </c>
      <c r="AZ3" s="2194"/>
      <c r="BA3" s="2195" t="s">
        <v>10</v>
      </c>
      <c r="BB3" s="2194"/>
      <c r="BC3" s="2195" t="s">
        <v>11</v>
      </c>
      <c r="BD3" s="2194"/>
      <c r="BE3" s="2195" t="s">
        <v>12</v>
      </c>
      <c r="BF3" s="2194"/>
      <c r="BG3" s="2195" t="s">
        <v>13</v>
      </c>
      <c r="BH3" s="2194"/>
      <c r="BI3" s="2195" t="s">
        <v>14</v>
      </c>
      <c r="BJ3" s="2194"/>
      <c r="BK3" s="2195" t="s">
        <v>15</v>
      </c>
      <c r="BL3" s="2194"/>
      <c r="BM3" s="1016"/>
      <c r="BN3" s="2211"/>
      <c r="BO3" s="2212" t="s">
        <v>9</v>
      </c>
      <c r="BP3" s="2213"/>
      <c r="BQ3" s="2212" t="s">
        <v>10</v>
      </c>
      <c r="BR3" s="2213"/>
      <c r="BS3" s="2212" t="s">
        <v>11</v>
      </c>
      <c r="BT3" s="2213"/>
      <c r="BU3" s="2212" t="s">
        <v>12</v>
      </c>
      <c r="BV3" s="2213"/>
      <c r="BW3" s="2195" t="s">
        <v>13</v>
      </c>
      <c r="BX3" s="2194"/>
      <c r="BY3" s="2195" t="s">
        <v>14</v>
      </c>
      <c r="BZ3" s="2194"/>
      <c r="CA3" s="2195" t="s">
        <v>15</v>
      </c>
      <c r="CB3" s="2316"/>
      <c r="CC3" s="1771"/>
      <c r="CD3" s="2184"/>
      <c r="CE3" s="2193" t="s">
        <v>9</v>
      </c>
      <c r="CF3" s="2194"/>
      <c r="CG3" s="2195" t="s">
        <v>10</v>
      </c>
      <c r="CH3" s="2194"/>
      <c r="CI3" s="2195" t="s">
        <v>11</v>
      </c>
      <c r="CJ3" s="2194"/>
      <c r="CK3" s="2195" t="s">
        <v>12</v>
      </c>
      <c r="CL3" s="2194"/>
      <c r="CM3" s="2196" t="s">
        <v>13</v>
      </c>
      <c r="CN3" s="2197"/>
      <c r="CO3" s="2195" t="s">
        <v>14</v>
      </c>
      <c r="CP3" s="2194"/>
      <c r="CQ3" s="2195" t="s">
        <v>15</v>
      </c>
      <c r="CR3" s="2314"/>
      <c r="CS3" s="1771"/>
      <c r="CT3" s="2184"/>
      <c r="CU3" s="2193" t="s">
        <v>9</v>
      </c>
      <c r="CV3" s="2194"/>
      <c r="CW3" s="2195" t="s">
        <v>10</v>
      </c>
      <c r="CX3" s="2194"/>
      <c r="CY3" s="2195" t="s">
        <v>11</v>
      </c>
      <c r="CZ3" s="2194"/>
      <c r="DA3" s="2195" t="s">
        <v>12</v>
      </c>
      <c r="DB3" s="2316"/>
      <c r="DC3" s="2317" t="s">
        <v>13</v>
      </c>
      <c r="DD3" s="2318"/>
      <c r="DE3" s="2312" t="s">
        <v>14</v>
      </c>
      <c r="DF3" s="2319"/>
      <c r="DG3" s="2312" t="s">
        <v>15</v>
      </c>
      <c r="DH3" s="2313"/>
    </row>
    <row r="4" spans="1:112" ht="15.75" thickBot="1" x14ac:dyDescent="0.3">
      <c r="A4" s="931" t="s">
        <v>16</v>
      </c>
      <c r="B4" s="105" t="s">
        <v>17</v>
      </c>
      <c r="C4" s="2204">
        <v>45652</v>
      </c>
      <c r="D4" s="2205"/>
      <c r="E4" s="2178">
        <f>C4+1</f>
        <v>45653</v>
      </c>
      <c r="F4" s="2178"/>
      <c r="G4" s="2178">
        <f>E4+1</f>
        <v>45654</v>
      </c>
      <c r="H4" s="2178"/>
      <c r="I4" s="2178">
        <f>G4+1</f>
        <v>45655</v>
      </c>
      <c r="J4" s="2178"/>
      <c r="K4" s="2178">
        <f>I4+1</f>
        <v>45656</v>
      </c>
      <c r="L4" s="2178"/>
      <c r="M4" s="2206">
        <f>K4+1</f>
        <v>45657</v>
      </c>
      <c r="N4" s="2206"/>
      <c r="O4" s="2178">
        <f>M4+1</f>
        <v>45658</v>
      </c>
      <c r="P4" s="2207"/>
      <c r="Q4" s="1772" t="s">
        <v>16</v>
      </c>
      <c r="R4" s="105" t="s">
        <v>17</v>
      </c>
      <c r="S4" s="2178">
        <v>46226</v>
      </c>
      <c r="T4" s="2179"/>
      <c r="U4" s="2178">
        <f>S4+1</f>
        <v>46227</v>
      </c>
      <c r="V4" s="2180"/>
      <c r="W4" s="2178">
        <f>U4+1</f>
        <v>46228</v>
      </c>
      <c r="X4" s="2179"/>
      <c r="Y4" s="2180">
        <f>W4+1</f>
        <v>46229</v>
      </c>
      <c r="Z4" s="2180"/>
      <c r="AA4" s="2315">
        <f>Y4+1</f>
        <v>46230</v>
      </c>
      <c r="AB4" s="2180"/>
      <c r="AC4" s="2178">
        <f>AA4+1</f>
        <v>46231</v>
      </c>
      <c r="AD4" s="2179"/>
      <c r="AE4" s="2178">
        <f>AC4+1</f>
        <v>46232</v>
      </c>
      <c r="AF4" s="2320"/>
      <c r="AG4" s="1019" t="s">
        <v>16</v>
      </c>
      <c r="AH4" s="1020" t="s">
        <v>17</v>
      </c>
      <c r="AI4" s="2178">
        <v>46205</v>
      </c>
      <c r="AJ4" s="2179"/>
      <c r="AK4" s="2178">
        <f>AI4+1</f>
        <v>46206</v>
      </c>
      <c r="AL4" s="2179"/>
      <c r="AM4" s="2178">
        <f>AK4+1</f>
        <v>46207</v>
      </c>
      <c r="AN4" s="2179"/>
      <c r="AO4" s="2178">
        <f>AM4+1</f>
        <v>46208</v>
      </c>
      <c r="AP4" s="2179"/>
      <c r="AQ4" s="2178">
        <f>AO4+1</f>
        <v>46209</v>
      </c>
      <c r="AR4" s="2179"/>
      <c r="AS4" s="2178">
        <f>AQ4+1</f>
        <v>46210</v>
      </c>
      <c r="AT4" s="2179"/>
      <c r="AU4" s="2178">
        <f>AS4+1</f>
        <v>46211</v>
      </c>
      <c r="AV4" s="2179"/>
      <c r="AW4" s="1019" t="s">
        <v>16</v>
      </c>
      <c r="AX4" s="1020" t="s">
        <v>17</v>
      </c>
      <c r="AY4" s="2178">
        <v>46205</v>
      </c>
      <c r="AZ4" s="2179"/>
      <c r="BA4" s="2178">
        <f>AY4+1</f>
        <v>46206</v>
      </c>
      <c r="BB4" s="2179"/>
      <c r="BC4" s="2178">
        <f>BA4+1</f>
        <v>46207</v>
      </c>
      <c r="BD4" s="2179"/>
      <c r="BE4" s="2178">
        <f>BC4+1</f>
        <v>46208</v>
      </c>
      <c r="BF4" s="2179"/>
      <c r="BG4" s="2178">
        <f>BE4+1</f>
        <v>46209</v>
      </c>
      <c r="BH4" s="2179"/>
      <c r="BI4" s="2178">
        <f>BG4+1</f>
        <v>46210</v>
      </c>
      <c r="BJ4" s="2179"/>
      <c r="BK4" s="2178">
        <f>BI4+1</f>
        <v>46211</v>
      </c>
      <c r="BL4" s="2179"/>
      <c r="BM4" s="931" t="s">
        <v>16</v>
      </c>
      <c r="BN4" s="1018" t="s">
        <v>17</v>
      </c>
      <c r="BO4" s="2202">
        <v>46212</v>
      </c>
      <c r="BP4" s="2203"/>
      <c r="BQ4" s="2202">
        <f>BO4+1</f>
        <v>46213</v>
      </c>
      <c r="BR4" s="2203"/>
      <c r="BS4" s="2202">
        <f>BQ4+1</f>
        <v>46214</v>
      </c>
      <c r="BT4" s="2203"/>
      <c r="BU4" s="2202">
        <f>BS4+1</f>
        <v>46215</v>
      </c>
      <c r="BV4" s="2203"/>
      <c r="BW4" s="2178">
        <f>BU4+1</f>
        <v>46216</v>
      </c>
      <c r="BX4" s="2179"/>
      <c r="BY4" s="2180">
        <f>BW4+1</f>
        <v>46217</v>
      </c>
      <c r="BZ4" s="2179"/>
      <c r="CA4" s="2178">
        <f>BY4+1</f>
        <v>46218</v>
      </c>
      <c r="CB4" s="2180"/>
      <c r="CC4" s="1772" t="s">
        <v>16</v>
      </c>
      <c r="CD4" s="105" t="s">
        <v>17</v>
      </c>
      <c r="CE4" s="2178">
        <v>46219</v>
      </c>
      <c r="CF4" s="2179"/>
      <c r="CG4" s="2178">
        <f>CE4+1</f>
        <v>46220</v>
      </c>
      <c r="CH4" s="2180"/>
      <c r="CI4" s="2178">
        <f>CG4+1</f>
        <v>46221</v>
      </c>
      <c r="CJ4" s="2179"/>
      <c r="CK4" s="2180">
        <f>CI4+1</f>
        <v>46222</v>
      </c>
      <c r="CL4" s="2180"/>
      <c r="CM4" s="2178">
        <f>CK4+1</f>
        <v>46223</v>
      </c>
      <c r="CN4" s="2180"/>
      <c r="CO4" s="2178">
        <f>CM4+1</f>
        <v>46224</v>
      </c>
      <c r="CP4" s="2179"/>
      <c r="CQ4" s="2178">
        <f>CO4+1</f>
        <v>46225</v>
      </c>
      <c r="CR4" s="2320"/>
      <c r="CS4" s="1772" t="s">
        <v>16</v>
      </c>
      <c r="CT4" s="105" t="s">
        <v>17</v>
      </c>
      <c r="CU4" s="2178">
        <v>46226</v>
      </c>
      <c r="CV4" s="2179"/>
      <c r="CW4" s="2178">
        <f>CU4+1</f>
        <v>46227</v>
      </c>
      <c r="CX4" s="2180"/>
      <c r="CY4" s="2178">
        <f>CW4+1</f>
        <v>46228</v>
      </c>
      <c r="CZ4" s="2179"/>
      <c r="DA4" s="2180">
        <f>CY4+1</f>
        <v>46229</v>
      </c>
      <c r="DB4" s="2180"/>
      <c r="DC4" s="2315">
        <f>DA4+1</f>
        <v>46230</v>
      </c>
      <c r="DD4" s="2180"/>
      <c r="DE4" s="2178">
        <f>DC4+1</f>
        <v>46231</v>
      </c>
      <c r="DF4" s="2179"/>
      <c r="DG4" s="2178">
        <f>DE4+1</f>
        <v>46232</v>
      </c>
      <c r="DH4" s="2320"/>
    </row>
    <row r="5" spans="1:112" ht="15.75" hidden="1" customHeight="1" x14ac:dyDescent="0.25">
      <c r="A5" s="944" t="s">
        <v>131</v>
      </c>
      <c r="B5" s="945" t="s">
        <v>19</v>
      </c>
      <c r="C5" s="1021" t="s">
        <v>132</v>
      </c>
      <c r="D5" s="1022" t="s">
        <v>132</v>
      </c>
      <c r="E5" s="1022" t="s">
        <v>132</v>
      </c>
      <c r="F5" s="1022" t="s">
        <v>132</v>
      </c>
      <c r="G5" s="1022" t="s">
        <v>132</v>
      </c>
      <c r="H5" s="1022" t="s">
        <v>132</v>
      </c>
      <c r="I5" s="1022" t="s">
        <v>132</v>
      </c>
      <c r="J5" s="1022" t="s">
        <v>132</v>
      </c>
      <c r="K5" s="1023" t="s">
        <v>95</v>
      </c>
      <c r="L5" s="1023" t="s">
        <v>95</v>
      </c>
      <c r="M5" s="1024"/>
      <c r="N5" s="1024"/>
      <c r="O5" s="1025">
        <v>0.75</v>
      </c>
      <c r="P5" s="1026">
        <v>4.1666666666666664E-2</v>
      </c>
      <c r="Q5" s="1773" t="s">
        <v>131</v>
      </c>
      <c r="R5" s="1769" t="s">
        <v>19</v>
      </c>
      <c r="S5" s="1605"/>
      <c r="T5" s="1606"/>
      <c r="U5" s="1607"/>
      <c r="V5" s="1598"/>
      <c r="W5" s="1579"/>
      <c r="X5" s="1579"/>
      <c r="Y5" s="1598"/>
      <c r="Z5" s="1608"/>
      <c r="AA5" s="1609"/>
      <c r="AB5" s="1610"/>
      <c r="AC5" s="1611"/>
      <c r="AD5" s="1611"/>
      <c r="AE5" s="1579"/>
      <c r="AF5" s="1774"/>
      <c r="AG5" s="1177" t="s">
        <v>131</v>
      </c>
      <c r="AH5" s="1119" t="s">
        <v>19</v>
      </c>
      <c r="AI5" s="1193">
        <v>0.64583333333333337</v>
      </c>
      <c r="AJ5" s="1193">
        <v>0.96527777777777779</v>
      </c>
      <c r="AK5" s="1193">
        <v>0.64583333333333337</v>
      </c>
      <c r="AL5" s="1193">
        <v>0.96527777777777779</v>
      </c>
      <c r="AM5" s="1193">
        <v>0.64583333333333337</v>
      </c>
      <c r="AN5" s="1193">
        <v>0.96527777777777779</v>
      </c>
      <c r="AO5" s="1192" t="s">
        <v>90</v>
      </c>
      <c r="AP5" s="1192" t="s">
        <v>90</v>
      </c>
      <c r="AQ5" s="1310" t="s">
        <v>91</v>
      </c>
      <c r="AR5" s="1310" t="s">
        <v>91</v>
      </c>
      <c r="AS5" s="1193">
        <v>0.64583333333333337</v>
      </c>
      <c r="AT5" s="1193">
        <v>0.96527777777777779</v>
      </c>
      <c r="AU5" s="1193">
        <v>0.64583333333333337</v>
      </c>
      <c r="AV5" s="1193">
        <v>0.96527777777777779</v>
      </c>
      <c r="AW5" s="1177" t="s">
        <v>131</v>
      </c>
      <c r="AX5" s="1119" t="s">
        <v>19</v>
      </c>
      <c r="AY5" s="1193">
        <v>0.64583333333333337</v>
      </c>
      <c r="AZ5" s="1193">
        <v>0.96527777777777779</v>
      </c>
      <c r="BA5" s="1193">
        <v>0.64583333333333337</v>
      </c>
      <c r="BB5" s="1193">
        <v>0.96527777777777779</v>
      </c>
      <c r="BC5" s="1193">
        <v>0.64583333333333337</v>
      </c>
      <c r="BD5" s="1193">
        <v>0.96527777777777779</v>
      </c>
      <c r="BE5" s="1192" t="s">
        <v>90</v>
      </c>
      <c r="BF5" s="1192" t="s">
        <v>90</v>
      </c>
      <c r="BG5" s="1310" t="s">
        <v>91</v>
      </c>
      <c r="BH5" s="1310" t="s">
        <v>91</v>
      </c>
      <c r="BI5" s="1193">
        <v>0.64583333333333337</v>
      </c>
      <c r="BJ5" s="1193">
        <v>0.96527777777777779</v>
      </c>
      <c r="BK5" s="1193">
        <v>0.64583333333333337</v>
      </c>
      <c r="BL5" s="1193">
        <v>0.96527777777777779</v>
      </c>
      <c r="BM5" s="1177" t="s">
        <v>131</v>
      </c>
      <c r="BN5" s="1635" t="s">
        <v>19</v>
      </c>
      <c r="BO5" s="1605"/>
      <c r="BP5" s="1606"/>
      <c r="BQ5" s="1607"/>
      <c r="BR5" s="1598"/>
      <c r="BS5" s="1579"/>
      <c r="BT5" s="1579"/>
      <c r="BU5" s="1598"/>
      <c r="BV5" s="1608"/>
      <c r="BW5" s="1609"/>
      <c r="BX5" s="1610"/>
      <c r="BY5" s="1611"/>
      <c r="BZ5" s="1611"/>
      <c r="CA5" s="1579"/>
      <c r="CB5" s="1782"/>
      <c r="CC5" s="1773" t="s">
        <v>131</v>
      </c>
      <c r="CD5" s="1769" t="s">
        <v>19</v>
      </c>
      <c r="CE5" s="1605"/>
      <c r="CF5" s="1606"/>
      <c r="CG5" s="1607"/>
      <c r="CH5" s="1598"/>
      <c r="CI5" s="1579"/>
      <c r="CJ5" s="1579"/>
      <c r="CK5" s="1598"/>
      <c r="CL5" s="1608"/>
      <c r="CM5" s="1609"/>
      <c r="CN5" s="1610"/>
      <c r="CO5" s="1611"/>
      <c r="CP5" s="1611"/>
      <c r="CQ5" s="1579"/>
      <c r="CR5" s="1774"/>
      <c r="CS5" s="1773" t="s">
        <v>131</v>
      </c>
      <c r="CT5" s="1769" t="s">
        <v>19</v>
      </c>
      <c r="CU5" s="1605"/>
      <c r="CV5" s="1606"/>
      <c r="CW5" s="1607"/>
      <c r="CX5" s="1598"/>
      <c r="CY5" s="1579"/>
      <c r="CZ5" s="1579"/>
      <c r="DA5" s="1598"/>
      <c r="DB5" s="1608"/>
      <c r="DC5" s="1609"/>
      <c r="DD5" s="1610"/>
      <c r="DE5" s="1611"/>
      <c r="DF5" s="1611"/>
      <c r="DG5" s="1579"/>
      <c r="DH5" s="1774"/>
    </row>
    <row r="6" spans="1:112" ht="15.75" x14ac:dyDescent="0.25">
      <c r="A6" s="947" t="s">
        <v>133</v>
      </c>
      <c r="B6" s="948" t="s">
        <v>19</v>
      </c>
      <c r="C6" s="1028">
        <v>0.64583333333333337</v>
      </c>
      <c r="D6" s="1011">
        <v>0.96527777777777779</v>
      </c>
      <c r="E6" s="946" t="s">
        <v>94</v>
      </c>
      <c r="F6" s="946" t="s">
        <v>94</v>
      </c>
      <c r="G6" s="946" t="s">
        <v>95</v>
      </c>
      <c r="H6" s="946" t="s">
        <v>95</v>
      </c>
      <c r="I6" s="1029">
        <v>0.45833333333333331</v>
      </c>
      <c r="J6" s="1029">
        <v>0.79166666666666663</v>
      </c>
      <c r="K6" s="1030">
        <v>0.79166666666666663</v>
      </c>
      <c r="L6" s="1030">
        <v>8.3333333333333329E-2</v>
      </c>
      <c r="M6" s="1031"/>
      <c r="N6" s="1031"/>
      <c r="O6" s="946" t="s">
        <v>90</v>
      </c>
      <c r="P6" s="1032" t="s">
        <v>90</v>
      </c>
      <c r="Q6" s="1982" t="s">
        <v>133</v>
      </c>
      <c r="R6" s="1983" t="s">
        <v>19</v>
      </c>
      <c r="S6" s="1951">
        <v>0.58333333333333337</v>
      </c>
      <c r="T6" s="1855">
        <v>0.90972222222222221</v>
      </c>
      <c r="U6" s="1847" t="s">
        <v>94</v>
      </c>
      <c r="V6" s="1847" t="s">
        <v>94</v>
      </c>
      <c r="W6" s="1855">
        <v>0.58333333333333337</v>
      </c>
      <c r="X6" s="1950">
        <v>0.90972222222222221</v>
      </c>
      <c r="Y6" s="1877">
        <v>0.54166666666666663</v>
      </c>
      <c r="Z6" s="2012">
        <v>0.875</v>
      </c>
      <c r="AA6" s="1970">
        <v>0.79166666666666663</v>
      </c>
      <c r="AB6" s="1971">
        <v>8.3333333333333329E-2</v>
      </c>
      <c r="AC6" s="1444">
        <v>0.64583333333333337</v>
      </c>
      <c r="AD6" s="1444">
        <v>0.96527777777777779</v>
      </c>
      <c r="AE6" s="1948">
        <v>0.6875</v>
      </c>
      <c r="AF6" s="1974">
        <v>6.25E-2</v>
      </c>
      <c r="AG6" s="1178" t="s">
        <v>133</v>
      </c>
      <c r="AH6" s="1120" t="s">
        <v>19</v>
      </c>
      <c r="AI6" s="1237"/>
      <c r="AJ6" s="1237"/>
      <c r="AK6" s="1193"/>
      <c r="AL6" s="1193"/>
      <c r="AM6" s="2035"/>
      <c r="AN6" s="2035"/>
      <c r="AO6" s="2036"/>
      <c r="AP6" s="2036"/>
      <c r="AQ6" s="1193"/>
      <c r="AR6" s="1193"/>
      <c r="AS6" s="1193"/>
      <c r="AT6" s="1193"/>
      <c r="AU6" s="1193"/>
      <c r="AV6" s="1193"/>
      <c r="AW6" s="1178" t="s">
        <v>133</v>
      </c>
      <c r="AX6" s="1120" t="s">
        <v>19</v>
      </c>
      <c r="AY6" s="1237">
        <v>0.625</v>
      </c>
      <c r="AZ6" s="1237">
        <v>0.94444444444444442</v>
      </c>
      <c r="BA6" s="1234">
        <v>0.45833333333333331</v>
      </c>
      <c r="BB6" s="1234">
        <v>0.79166666666666663</v>
      </c>
      <c r="BC6" s="1310" t="s">
        <v>90</v>
      </c>
      <c r="BD6" s="1310" t="s">
        <v>90</v>
      </c>
      <c r="BE6" s="1192" t="s">
        <v>91</v>
      </c>
      <c r="BF6" s="1192" t="s">
        <v>91</v>
      </c>
      <c r="BG6" s="1193">
        <v>0.54166666666666663</v>
      </c>
      <c r="BH6" s="1193">
        <v>0.875</v>
      </c>
      <c r="BI6" s="1193">
        <v>0.66666666666666663</v>
      </c>
      <c r="BJ6" s="1193">
        <v>0.97916666666666663</v>
      </c>
      <c r="BK6" s="1193">
        <v>0.6875</v>
      </c>
      <c r="BL6" s="1193">
        <v>0</v>
      </c>
      <c r="BM6" s="947" t="s">
        <v>133</v>
      </c>
      <c r="BN6" s="1636" t="s">
        <v>19</v>
      </c>
      <c r="BO6" s="1632">
        <v>0.64583333333333337</v>
      </c>
      <c r="BP6" s="1617">
        <v>0.96527777777777779</v>
      </c>
      <c r="BQ6" s="1617">
        <v>0.64583333333333337</v>
      </c>
      <c r="BR6" s="1617">
        <v>0.96527777777777779</v>
      </c>
      <c r="BS6" s="1618" t="s">
        <v>92</v>
      </c>
      <c r="BT6" s="1618" t="s">
        <v>92</v>
      </c>
      <c r="BU6" s="1617">
        <v>0.625</v>
      </c>
      <c r="BV6" s="1617">
        <v>0.94444444444444442</v>
      </c>
      <c r="BW6" s="1060">
        <v>0.79166666666666663</v>
      </c>
      <c r="BX6" s="1060">
        <v>8.3333333333333329E-2</v>
      </c>
      <c r="BY6" s="1619">
        <v>0.64583333333333337</v>
      </c>
      <c r="BZ6" s="1619">
        <v>0.96527777777777779</v>
      </c>
      <c r="CA6" s="1620">
        <v>0.47916666666666669</v>
      </c>
      <c r="CB6" s="1761">
        <v>0.8125</v>
      </c>
      <c r="CC6" s="1786" t="s">
        <v>133</v>
      </c>
      <c r="CD6" s="1845" t="s">
        <v>19</v>
      </c>
      <c r="CE6" s="1846">
        <v>0.47916666666666669</v>
      </c>
      <c r="CF6" s="1724">
        <v>0.8125</v>
      </c>
      <c r="CG6" s="1847" t="s">
        <v>93</v>
      </c>
      <c r="CH6" s="1847" t="s">
        <v>93</v>
      </c>
      <c r="CI6" s="1723">
        <v>0.875</v>
      </c>
      <c r="CJ6" s="1849">
        <v>0.16666666666666666</v>
      </c>
      <c r="CK6" s="1877">
        <v>0.6875</v>
      </c>
      <c r="CL6" s="1889">
        <v>1</v>
      </c>
      <c r="CM6" s="1880">
        <v>0.54166666666666663</v>
      </c>
      <c r="CN6" s="1642">
        <v>0.875</v>
      </c>
      <c r="CO6" s="1724">
        <v>0.39583333333333331</v>
      </c>
      <c r="CP6" s="1724">
        <v>0.72916666666666663</v>
      </c>
      <c r="CQ6" s="1723">
        <v>0.79166666666666663</v>
      </c>
      <c r="CR6" s="1849">
        <v>8.3333333333333329E-2</v>
      </c>
      <c r="CS6" s="1982" t="s">
        <v>133</v>
      </c>
      <c r="CT6" s="1983" t="s">
        <v>19</v>
      </c>
      <c r="CU6" s="1951">
        <v>0.58333333333333337</v>
      </c>
      <c r="CV6" s="1855">
        <v>0.90972222222222221</v>
      </c>
      <c r="CW6" s="1847" t="s">
        <v>94</v>
      </c>
      <c r="CX6" s="1847" t="s">
        <v>94</v>
      </c>
      <c r="CY6" s="1855">
        <v>0.58333333333333337</v>
      </c>
      <c r="CZ6" s="1950">
        <v>0.90972222222222221</v>
      </c>
      <c r="DA6" s="1877">
        <v>0.54166666666666663</v>
      </c>
      <c r="DB6" s="2012">
        <v>0.875</v>
      </c>
      <c r="DC6" s="1970">
        <v>0.79166666666666663</v>
      </c>
      <c r="DD6" s="1971">
        <v>8.3333333333333329E-2</v>
      </c>
      <c r="DE6" s="1444">
        <v>0.64583333333333337</v>
      </c>
      <c r="DF6" s="1444">
        <v>0.96527777777777779</v>
      </c>
      <c r="DG6" s="1948">
        <v>0.6875</v>
      </c>
      <c r="DH6" s="1974">
        <v>6.25E-2</v>
      </c>
    </row>
    <row r="7" spans="1:112" ht="15.75" x14ac:dyDescent="0.25">
      <c r="A7" s="950" t="s">
        <v>134</v>
      </c>
      <c r="B7" s="948" t="s">
        <v>19</v>
      </c>
      <c r="C7" s="949" t="s">
        <v>94</v>
      </c>
      <c r="D7" s="946" t="s">
        <v>94</v>
      </c>
      <c r="E7" s="946" t="s">
        <v>95</v>
      </c>
      <c r="F7" s="946" t="s">
        <v>95</v>
      </c>
      <c r="G7" s="1029">
        <v>0.45833333333333331</v>
      </c>
      <c r="H7" s="1029">
        <v>0.79166666666666663</v>
      </c>
      <c r="I7" s="1033">
        <v>0.58333333333333337</v>
      </c>
      <c r="J7" s="1033">
        <v>0.90972222222222221</v>
      </c>
      <c r="K7" s="1033">
        <v>0.6875</v>
      </c>
      <c r="L7" s="1033">
        <v>0</v>
      </c>
      <c r="M7" s="1031"/>
      <c r="N7" s="1031"/>
      <c r="O7" s="946" t="s">
        <v>90</v>
      </c>
      <c r="P7" s="1032" t="s">
        <v>90</v>
      </c>
      <c r="Q7" s="1787" t="s">
        <v>134</v>
      </c>
      <c r="R7" s="1984" t="s">
        <v>19</v>
      </c>
      <c r="S7" s="1365">
        <v>0.64583333333333337</v>
      </c>
      <c r="T7" s="1232">
        <v>0.96527777777777779</v>
      </c>
      <c r="U7" s="1232">
        <v>0.64583333333333337</v>
      </c>
      <c r="V7" s="1452">
        <v>0.96527777777777779</v>
      </c>
      <c r="W7" s="1232">
        <v>0.64583333333333337</v>
      </c>
      <c r="X7" s="1452">
        <v>0.96527777777777779</v>
      </c>
      <c r="Y7" s="1878" t="s">
        <v>95</v>
      </c>
      <c r="Z7" s="1835" t="s">
        <v>95</v>
      </c>
      <c r="AA7" s="1453">
        <v>0.54166666666666663</v>
      </c>
      <c r="AB7" s="1232">
        <v>0.875</v>
      </c>
      <c r="AC7" s="1564">
        <v>0.54166666666666663</v>
      </c>
      <c r="AD7" s="1564">
        <v>0.875</v>
      </c>
      <c r="AE7" s="1232">
        <v>0.4375</v>
      </c>
      <c r="AF7" s="1247">
        <v>0.77083333333333337</v>
      </c>
      <c r="AG7" s="1179" t="s">
        <v>134</v>
      </c>
      <c r="AH7" s="1120" t="s">
        <v>19</v>
      </c>
      <c r="AI7" s="1237"/>
      <c r="AJ7" s="1237"/>
      <c r="AK7" s="1237"/>
      <c r="AL7" s="1237"/>
      <c r="AM7" s="1237"/>
      <c r="AN7" s="1237"/>
      <c r="AO7" s="2035"/>
      <c r="AP7" s="2035"/>
      <c r="AQ7" s="2035"/>
      <c r="AR7" s="2035"/>
      <c r="AS7" s="1237"/>
      <c r="AT7" s="1237"/>
      <c r="AU7" s="1237"/>
      <c r="AV7" s="1237"/>
      <c r="AW7" s="1179" t="s">
        <v>134</v>
      </c>
      <c r="AX7" s="1120" t="s">
        <v>19</v>
      </c>
      <c r="AY7" s="1237">
        <v>0.66666666666666663</v>
      </c>
      <c r="AZ7" s="1237">
        <v>0.97916666666666663</v>
      </c>
      <c r="BA7" s="1237">
        <v>0.6875</v>
      </c>
      <c r="BB7" s="1237">
        <v>0</v>
      </c>
      <c r="BC7" s="1237">
        <v>0.6875</v>
      </c>
      <c r="BD7" s="1237">
        <v>0</v>
      </c>
      <c r="BE7" s="1310" t="s">
        <v>91</v>
      </c>
      <c r="BF7" s="1310" t="s">
        <v>91</v>
      </c>
      <c r="BG7" s="1310" t="s">
        <v>92</v>
      </c>
      <c r="BH7" s="1310" t="s">
        <v>92</v>
      </c>
      <c r="BI7" s="1237">
        <v>0.66666666666666663</v>
      </c>
      <c r="BJ7" s="1237">
        <v>0.97916666666666663</v>
      </c>
      <c r="BK7" s="1237">
        <v>0.54166666666666663</v>
      </c>
      <c r="BL7" s="1237">
        <v>0.875</v>
      </c>
      <c r="BM7" s="950" t="s">
        <v>134</v>
      </c>
      <c r="BN7" s="1637" t="s">
        <v>19</v>
      </c>
      <c r="BO7" s="1451">
        <v>0.64583333333333337</v>
      </c>
      <c r="BP7" s="1129">
        <v>0.96527777777777779</v>
      </c>
      <c r="BQ7" s="1129">
        <v>0.6875</v>
      </c>
      <c r="BR7" s="1129">
        <v>0</v>
      </c>
      <c r="BS7" s="1029">
        <v>0.39583333333333331</v>
      </c>
      <c r="BT7" s="1029">
        <v>0.72916666666666663</v>
      </c>
      <c r="BU7" s="1033">
        <v>0.64583333333333337</v>
      </c>
      <c r="BV7" s="1033">
        <v>0.96527777777777779</v>
      </c>
      <c r="BW7" s="1038" t="s">
        <v>93</v>
      </c>
      <c r="BX7" s="1038" t="s">
        <v>93</v>
      </c>
      <c r="BY7" s="1011">
        <v>0.6875</v>
      </c>
      <c r="BZ7" s="1011">
        <v>0</v>
      </c>
      <c r="CA7" s="1011">
        <v>0.54166666666666663</v>
      </c>
      <c r="CB7" s="1037">
        <v>0.875</v>
      </c>
      <c r="CC7" s="1787" t="s">
        <v>134</v>
      </c>
      <c r="CD7" s="1845" t="s">
        <v>19</v>
      </c>
      <c r="CE7" s="1840" t="s">
        <v>94</v>
      </c>
      <c r="CF7" s="1310" t="s">
        <v>94</v>
      </c>
      <c r="CG7" s="1744" t="s">
        <v>135</v>
      </c>
      <c r="CH7" s="1744" t="s">
        <v>136</v>
      </c>
      <c r="CI7" s="1111">
        <v>0.79166666666666663</v>
      </c>
      <c r="CJ7" s="1833">
        <v>8.3333333333333329E-2</v>
      </c>
      <c r="CK7" s="1447">
        <v>0.58333333333333337</v>
      </c>
      <c r="CL7" s="1523">
        <v>0.90972222222222221</v>
      </c>
      <c r="CM7" s="1365">
        <v>0.4375</v>
      </c>
      <c r="CN7" s="1232">
        <v>0.77083333333333337</v>
      </c>
      <c r="CO7" s="1564">
        <v>0.6875</v>
      </c>
      <c r="CP7" s="1564">
        <v>0</v>
      </c>
      <c r="CQ7" s="1193">
        <v>0.54166666666666663</v>
      </c>
      <c r="CR7" s="1357">
        <v>0.875</v>
      </c>
      <c r="CS7" s="1787" t="s">
        <v>134</v>
      </c>
      <c r="CT7" s="1984" t="s">
        <v>19</v>
      </c>
      <c r="CU7" s="1365">
        <v>0.64583333333333337</v>
      </c>
      <c r="CV7" s="1232">
        <v>0.96527777777777779</v>
      </c>
      <c r="CW7" s="1232">
        <v>0.64583333333333337</v>
      </c>
      <c r="CX7" s="1452">
        <v>0.96527777777777779</v>
      </c>
      <c r="CY7" s="1232">
        <v>0.64583333333333337</v>
      </c>
      <c r="CZ7" s="1452">
        <v>0.96527777777777779</v>
      </c>
      <c r="DA7" s="1878" t="s">
        <v>95</v>
      </c>
      <c r="DB7" s="1835" t="s">
        <v>95</v>
      </c>
      <c r="DC7" s="1453">
        <v>0.54166666666666663</v>
      </c>
      <c r="DD7" s="1232">
        <v>0.875</v>
      </c>
      <c r="DE7" s="1564">
        <v>0.54166666666666663</v>
      </c>
      <c r="DF7" s="1564">
        <v>0.875</v>
      </c>
      <c r="DG7" s="1232">
        <v>0.4375</v>
      </c>
      <c r="DH7" s="1247">
        <v>0.77083333333333337</v>
      </c>
    </row>
    <row r="8" spans="1:112" ht="15.75" x14ac:dyDescent="0.25">
      <c r="A8" s="951" t="s">
        <v>137</v>
      </c>
      <c r="B8" s="948" t="s">
        <v>19</v>
      </c>
      <c r="C8" s="952">
        <v>0.41666666666666669</v>
      </c>
      <c r="D8" s="1029">
        <v>0.75</v>
      </c>
      <c r="E8" s="946" t="s">
        <v>95</v>
      </c>
      <c r="F8" s="946" t="s">
        <v>95</v>
      </c>
      <c r="G8" s="1030">
        <v>0.79166666666666663</v>
      </c>
      <c r="H8" s="1030">
        <v>8.3333333333333329E-2</v>
      </c>
      <c r="I8" s="1012">
        <v>0.64583333333333337</v>
      </c>
      <c r="J8" s="1011">
        <v>0.96527777777777779</v>
      </c>
      <c r="K8" s="1034">
        <v>0.58333333333333337</v>
      </c>
      <c r="L8" s="1035">
        <v>0.90972222222222221</v>
      </c>
      <c r="M8" s="1036"/>
      <c r="N8" s="1036"/>
      <c r="O8" s="1011">
        <v>0.75</v>
      </c>
      <c r="P8" s="1037">
        <v>4.1666666666666664E-2</v>
      </c>
      <c r="Q8" s="1775" t="s">
        <v>137</v>
      </c>
      <c r="R8" s="1984" t="s">
        <v>19</v>
      </c>
      <c r="S8" s="1365">
        <v>0.64583333333333337</v>
      </c>
      <c r="T8" s="1232">
        <v>0.96527777777777779</v>
      </c>
      <c r="U8" s="1232">
        <v>0.64583333333333337</v>
      </c>
      <c r="V8" s="1232">
        <v>0.96527777777777779</v>
      </c>
      <c r="W8" s="1958" t="s">
        <v>95</v>
      </c>
      <c r="X8" s="1958" t="s">
        <v>95</v>
      </c>
      <c r="Y8" s="1948">
        <v>0.79166666666666663</v>
      </c>
      <c r="Z8" s="1949">
        <v>8.3333333333333329E-2</v>
      </c>
      <c r="AA8" s="1972">
        <v>0.58333333333333337</v>
      </c>
      <c r="AB8" s="1953">
        <v>0.90972222222222221</v>
      </c>
      <c r="AC8" s="1613">
        <v>0.4375</v>
      </c>
      <c r="AD8" s="1613">
        <v>0.77083333333333337</v>
      </c>
      <c r="AE8" s="1234">
        <v>0.39583333333333331</v>
      </c>
      <c r="AF8" s="1273">
        <v>0.72916666666666663</v>
      </c>
      <c r="AG8" s="1180" t="s">
        <v>137</v>
      </c>
      <c r="AH8" s="1120" t="s">
        <v>19</v>
      </c>
      <c r="AI8" s="2035"/>
      <c r="AJ8" s="2035"/>
      <c r="AK8" s="2036"/>
      <c r="AL8" s="2036"/>
      <c r="AM8" s="1193"/>
      <c r="AN8" s="1193"/>
      <c r="AO8" s="1237"/>
      <c r="AP8" s="1237"/>
      <c r="AQ8" s="1193"/>
      <c r="AR8" s="1193"/>
      <c r="AS8" s="1193"/>
      <c r="AT8" s="1193"/>
      <c r="AU8" s="1193"/>
      <c r="AV8" s="1193"/>
      <c r="AW8" s="1180" t="s">
        <v>137</v>
      </c>
      <c r="AX8" s="1120" t="s">
        <v>19</v>
      </c>
      <c r="AY8" s="1310" t="s">
        <v>90</v>
      </c>
      <c r="AZ8" s="1310" t="s">
        <v>90</v>
      </c>
      <c r="BA8" s="1192" t="s">
        <v>91</v>
      </c>
      <c r="BB8" s="1192" t="s">
        <v>91</v>
      </c>
      <c r="BC8" s="1111">
        <v>0.79166666666666663</v>
      </c>
      <c r="BD8" s="1111">
        <v>8.3333333333333329E-2</v>
      </c>
      <c r="BE8" s="1237">
        <v>0.6875</v>
      </c>
      <c r="BF8" s="1237">
        <v>0</v>
      </c>
      <c r="BG8" s="1111">
        <v>0.79166666666666663</v>
      </c>
      <c r="BH8" s="1111">
        <v>8.3333333333333329E-2</v>
      </c>
      <c r="BI8" s="1193">
        <v>0.54166666666666663</v>
      </c>
      <c r="BJ8" s="1193">
        <v>0.875</v>
      </c>
      <c r="BK8" s="1234">
        <v>0.47916666666666669</v>
      </c>
      <c r="BL8" s="1234">
        <v>0.8125</v>
      </c>
      <c r="BM8" s="951" t="s">
        <v>137</v>
      </c>
      <c r="BN8" s="1637" t="s">
        <v>19</v>
      </c>
      <c r="BO8" s="1633">
        <v>0.39583333333333331</v>
      </c>
      <c r="BP8" s="1029">
        <v>0.72916666666666663</v>
      </c>
      <c r="BQ8" s="1033">
        <v>0.45833333333333331</v>
      </c>
      <c r="BR8" s="1033">
        <v>0.79166666666666663</v>
      </c>
      <c r="BS8" s="1038" t="s">
        <v>92</v>
      </c>
      <c r="BT8" s="1038" t="s">
        <v>92</v>
      </c>
      <c r="BU8" s="1129">
        <v>0.45833333333333331</v>
      </c>
      <c r="BV8" s="1129">
        <v>0.79166666666666663</v>
      </c>
      <c r="BW8" s="1033">
        <v>0.64583333333333337</v>
      </c>
      <c r="BX8" s="1033">
        <v>0.96527777777777779</v>
      </c>
      <c r="BY8" s="1011">
        <v>0.54166666666666663</v>
      </c>
      <c r="BZ8" s="1011">
        <v>0.875</v>
      </c>
      <c r="CA8" s="1038" t="s">
        <v>93</v>
      </c>
      <c r="CB8" s="1762" t="s">
        <v>93</v>
      </c>
      <c r="CC8" s="1775" t="s">
        <v>137</v>
      </c>
      <c r="CD8" s="1845" t="s">
        <v>19</v>
      </c>
      <c r="CE8" s="1841">
        <v>0.64583333333333337</v>
      </c>
      <c r="CF8" s="1193">
        <v>0.96527777777777779</v>
      </c>
      <c r="CG8" s="1512" t="s">
        <v>135</v>
      </c>
      <c r="CH8" s="1512" t="s">
        <v>138</v>
      </c>
      <c r="CI8" s="1512" t="s">
        <v>135</v>
      </c>
      <c r="CJ8" s="1834" t="s">
        <v>138</v>
      </c>
      <c r="CK8" s="1878" t="s">
        <v>94</v>
      </c>
      <c r="CL8" s="1848" t="s">
        <v>94</v>
      </c>
      <c r="CM8" s="1881">
        <v>0.39583333333333331</v>
      </c>
      <c r="CN8" s="1234">
        <v>0.72916666666666663</v>
      </c>
      <c r="CO8" s="1111">
        <v>0.79166666666666663</v>
      </c>
      <c r="CP8" s="1111">
        <v>8.3333333333333329E-2</v>
      </c>
      <c r="CQ8" s="1193">
        <v>0.64583333333333337</v>
      </c>
      <c r="CR8" s="1357">
        <v>0.96527777777777779</v>
      </c>
      <c r="CS8" s="1775" t="s">
        <v>137</v>
      </c>
      <c r="CT8" s="1984" t="s">
        <v>19</v>
      </c>
      <c r="CU8" s="1365">
        <v>0.64583333333333337</v>
      </c>
      <c r="CV8" s="1232">
        <v>0.96527777777777779</v>
      </c>
      <c r="CW8" s="1232">
        <v>0.64583333333333337</v>
      </c>
      <c r="CX8" s="1232">
        <v>0.96527777777777779</v>
      </c>
      <c r="CY8" s="1958" t="s">
        <v>95</v>
      </c>
      <c r="CZ8" s="1958" t="s">
        <v>95</v>
      </c>
      <c r="DA8" s="1948">
        <v>0.79166666666666663</v>
      </c>
      <c r="DB8" s="1949">
        <v>8.3333333333333329E-2</v>
      </c>
      <c r="DC8" s="1972">
        <v>0.58333333333333337</v>
      </c>
      <c r="DD8" s="1953">
        <v>0.90972222222222221</v>
      </c>
      <c r="DE8" s="1613">
        <v>0.4375</v>
      </c>
      <c r="DF8" s="1613">
        <v>0.77083333333333337</v>
      </c>
      <c r="DG8" s="1234">
        <v>0.39583333333333331</v>
      </c>
      <c r="DH8" s="1273">
        <v>0.72916666666666663</v>
      </c>
    </row>
    <row r="9" spans="1:112" ht="16.5" thickBot="1" x14ac:dyDescent="0.3">
      <c r="A9" s="954" t="s">
        <v>139</v>
      </c>
      <c r="B9" s="955" t="s">
        <v>19</v>
      </c>
      <c r="C9" s="949" t="s">
        <v>94</v>
      </c>
      <c r="D9" s="946" t="s">
        <v>94</v>
      </c>
      <c r="E9" s="1029">
        <v>0.47916666666666669</v>
      </c>
      <c r="F9" s="1029">
        <v>0.8125</v>
      </c>
      <c r="G9" s="1038" t="s">
        <v>140</v>
      </c>
      <c r="H9" s="1038" t="s">
        <v>141</v>
      </c>
      <c r="I9" s="946" t="s">
        <v>95</v>
      </c>
      <c r="J9" s="946" t="s">
        <v>95</v>
      </c>
      <c r="K9" s="1029">
        <v>0.47916666666666669</v>
      </c>
      <c r="L9" s="1029">
        <v>0.8125</v>
      </c>
      <c r="M9" s="1039"/>
      <c r="N9" s="1039"/>
      <c r="O9" s="946" t="s">
        <v>90</v>
      </c>
      <c r="P9" s="1032" t="s">
        <v>90</v>
      </c>
      <c r="Q9" s="1775" t="s">
        <v>139</v>
      </c>
      <c r="R9" s="1984" t="s">
        <v>19</v>
      </c>
      <c r="S9" s="1959">
        <v>0.45833333333333331</v>
      </c>
      <c r="T9" s="1782">
        <v>0.79166666666666663</v>
      </c>
      <c r="U9" s="1947">
        <v>0.54166666666666663</v>
      </c>
      <c r="V9" s="1947">
        <v>0.875</v>
      </c>
      <c r="W9" s="1959">
        <v>0.64583333333333337</v>
      </c>
      <c r="X9" s="1782">
        <v>0.96527777777777779</v>
      </c>
      <c r="Y9" s="1952">
        <v>0.64583333333333337</v>
      </c>
      <c r="Z9" s="1782">
        <v>0.96527777777777779</v>
      </c>
      <c r="AA9" s="1973" t="s">
        <v>95</v>
      </c>
      <c r="AB9" s="1958" t="s">
        <v>95</v>
      </c>
      <c r="AC9" s="1232">
        <v>0.64583333333333337</v>
      </c>
      <c r="AD9" s="1232">
        <v>0.96527777777777779</v>
      </c>
      <c r="AE9" s="1948">
        <v>0.79166666666666663</v>
      </c>
      <c r="AF9" s="1974">
        <v>0.16666666666666666</v>
      </c>
      <c r="AG9" s="1303" t="s">
        <v>139</v>
      </c>
      <c r="AH9" s="1220" t="s">
        <v>19</v>
      </c>
      <c r="AI9" s="1193"/>
      <c r="AJ9" s="1193"/>
      <c r="AK9" s="2035"/>
      <c r="AL9" s="2035"/>
      <c r="AM9" s="2035"/>
      <c r="AN9" s="2035"/>
      <c r="AO9" s="1193"/>
      <c r="AP9" s="1193"/>
      <c r="AQ9" s="1193"/>
      <c r="AR9" s="1193"/>
      <c r="AS9" s="1193"/>
      <c r="AT9" s="1193"/>
      <c r="AU9" s="1193"/>
      <c r="AV9" s="1193"/>
      <c r="AW9" s="1303" t="s">
        <v>139</v>
      </c>
      <c r="AX9" s="1220" t="s">
        <v>19</v>
      </c>
      <c r="AY9" s="1512" t="s">
        <v>135</v>
      </c>
      <c r="AZ9" s="1512" t="s">
        <v>138</v>
      </c>
      <c r="BA9" s="1310" t="s">
        <v>90</v>
      </c>
      <c r="BB9" s="1310" t="s">
        <v>90</v>
      </c>
      <c r="BC9" s="1310" t="s">
        <v>91</v>
      </c>
      <c r="BD9" s="1310" t="s">
        <v>91</v>
      </c>
      <c r="BE9" s="1234">
        <v>0.39583333333333331</v>
      </c>
      <c r="BF9" s="1234">
        <v>0.72916666666666663</v>
      </c>
      <c r="BG9" s="1234">
        <v>0.47916666666666669</v>
      </c>
      <c r="BH9" s="1234">
        <v>0.8125</v>
      </c>
      <c r="BI9" s="1111">
        <v>0.79166666666666663</v>
      </c>
      <c r="BJ9" s="1111">
        <v>8.3333333333333329E-2</v>
      </c>
      <c r="BK9" s="1193">
        <v>0.66666666666666663</v>
      </c>
      <c r="BL9" s="1193">
        <v>0.97916666666666663</v>
      </c>
      <c r="BM9" s="1303" t="s">
        <v>139</v>
      </c>
      <c r="BN9" s="1637" t="s">
        <v>19</v>
      </c>
      <c r="BO9" s="1397">
        <v>0.79166666666666663</v>
      </c>
      <c r="BP9" s="1030">
        <v>8.3333333333333329E-2</v>
      </c>
      <c r="BQ9" s="1129">
        <v>0.64583333333333337</v>
      </c>
      <c r="BR9" s="1129">
        <v>0.96527777777777779</v>
      </c>
      <c r="BS9" s="1038" t="s">
        <v>92</v>
      </c>
      <c r="BT9" s="1038" t="s">
        <v>92</v>
      </c>
      <c r="BU9" s="1033">
        <v>0.54166666666666663</v>
      </c>
      <c r="BV9" s="1033">
        <v>0.875</v>
      </c>
      <c r="BW9" s="1029">
        <v>0.47916666666666669</v>
      </c>
      <c r="BX9" s="1029">
        <v>0.8125</v>
      </c>
      <c r="BY9" s="1030">
        <v>0.79166666666666663</v>
      </c>
      <c r="BZ9" s="1030">
        <v>8.3333333333333329E-2</v>
      </c>
      <c r="CA9" s="1033">
        <v>0.6875</v>
      </c>
      <c r="CB9" s="1390">
        <v>0</v>
      </c>
      <c r="CC9" s="1775" t="s">
        <v>139</v>
      </c>
      <c r="CD9" s="1845" t="s">
        <v>19</v>
      </c>
      <c r="CE9" s="1842">
        <v>0.79166666666666663</v>
      </c>
      <c r="CF9" s="1111">
        <v>8.3333333333333329E-2</v>
      </c>
      <c r="CG9" s="1233">
        <v>0.6875</v>
      </c>
      <c r="CH9" s="1233">
        <v>0</v>
      </c>
      <c r="CI9" s="1310" t="s">
        <v>93</v>
      </c>
      <c r="CJ9" s="1835" t="s">
        <v>93</v>
      </c>
      <c r="CK9" s="1879" t="s">
        <v>94</v>
      </c>
      <c r="CL9" s="1890" t="s">
        <v>94</v>
      </c>
      <c r="CM9" s="1275">
        <v>0.6875</v>
      </c>
      <c r="CN9" s="1193">
        <v>0</v>
      </c>
      <c r="CO9" s="1193">
        <v>0.54166666666666663</v>
      </c>
      <c r="CP9" s="1193">
        <v>0.875</v>
      </c>
      <c r="CQ9" s="1234">
        <v>0.39583333333333331</v>
      </c>
      <c r="CR9" s="1836">
        <v>0.72916666666666663</v>
      </c>
      <c r="CS9" s="1775" t="s">
        <v>139</v>
      </c>
      <c r="CT9" s="1984" t="s">
        <v>19</v>
      </c>
      <c r="CU9" s="1959">
        <v>0.45833333333333331</v>
      </c>
      <c r="CV9" s="1782">
        <v>0.79166666666666663</v>
      </c>
      <c r="CW9" s="1947">
        <v>0.54166666666666663</v>
      </c>
      <c r="CX9" s="1947">
        <v>0.875</v>
      </c>
      <c r="CY9" s="1959">
        <v>0.64583333333333337</v>
      </c>
      <c r="CZ9" s="1782">
        <v>0.96527777777777779</v>
      </c>
      <c r="DA9" s="1952">
        <v>0.64583333333333337</v>
      </c>
      <c r="DB9" s="1782">
        <v>0.96527777777777779</v>
      </c>
      <c r="DC9" s="1973" t="s">
        <v>95</v>
      </c>
      <c r="DD9" s="1958" t="s">
        <v>95</v>
      </c>
      <c r="DE9" s="1232">
        <v>0.64583333333333337</v>
      </c>
      <c r="DF9" s="1232">
        <v>0.96527777777777779</v>
      </c>
      <c r="DG9" s="1948">
        <v>0.79166666666666663</v>
      </c>
      <c r="DH9" s="1974">
        <v>0.16666666666666666</v>
      </c>
    </row>
    <row r="10" spans="1:112" ht="16.5" thickBot="1" x14ac:dyDescent="0.3">
      <c r="A10" s="957"/>
      <c r="B10" s="1007"/>
      <c r="C10" s="1566"/>
      <c r="D10" s="1567"/>
      <c r="E10" s="1568"/>
      <c r="F10" s="1568"/>
      <c r="G10" s="1038"/>
      <c r="H10" s="1038"/>
      <c r="I10" s="1051"/>
      <c r="J10" s="1052"/>
      <c r="K10" s="1568"/>
      <c r="L10" s="1568"/>
      <c r="M10" s="1054"/>
      <c r="N10" s="1054"/>
      <c r="O10" s="1567"/>
      <c r="P10" s="1569"/>
      <c r="Q10" s="1775" t="s">
        <v>142</v>
      </c>
      <c r="R10" s="1984" t="s">
        <v>19</v>
      </c>
      <c r="S10" s="1980">
        <v>0.54166666666666663</v>
      </c>
      <c r="T10" s="1947">
        <v>0.875</v>
      </c>
      <c r="U10" s="1113">
        <v>0.39583333333333331</v>
      </c>
      <c r="V10" s="1113">
        <v>0.72916666666666663</v>
      </c>
      <c r="W10" s="1958" t="s">
        <v>95</v>
      </c>
      <c r="X10" s="1958" t="s">
        <v>95</v>
      </c>
      <c r="Y10" s="1952">
        <v>0.625</v>
      </c>
      <c r="Z10" s="1954">
        <v>0.94444444444444442</v>
      </c>
      <c r="AA10" s="1453">
        <v>0.64583333333333337</v>
      </c>
      <c r="AB10" s="1232">
        <v>0.96527777777777779</v>
      </c>
      <c r="AC10" s="1948">
        <v>0.79166666666666663</v>
      </c>
      <c r="AD10" s="1957">
        <v>8.3333333333333329E-2</v>
      </c>
      <c r="AE10" s="1948">
        <v>0.6875</v>
      </c>
      <c r="AF10" s="1974">
        <v>6.25E-2</v>
      </c>
      <c r="AG10" s="1615"/>
      <c r="AH10" s="1615"/>
      <c r="AI10" s="1564"/>
      <c r="AJ10" s="1564"/>
      <c r="AK10" s="1564"/>
      <c r="AL10" s="1564"/>
      <c r="AM10" s="1564"/>
      <c r="AN10" s="1564"/>
      <c r="AO10" s="1564"/>
      <c r="AP10" s="1564"/>
      <c r="AQ10" s="1564"/>
      <c r="AR10" s="1564"/>
      <c r="AS10" s="1564"/>
      <c r="AT10" s="1564"/>
      <c r="AU10" s="1564"/>
      <c r="AV10" s="1564"/>
      <c r="AW10" s="1510" t="s">
        <v>142</v>
      </c>
      <c r="AX10" s="1511" t="s">
        <v>19</v>
      </c>
      <c r="AY10" s="1192" t="s">
        <v>90</v>
      </c>
      <c r="AZ10" s="1192" t="s">
        <v>90</v>
      </c>
      <c r="BA10" s="1310" t="s">
        <v>91</v>
      </c>
      <c r="BB10" s="1310" t="s">
        <v>91</v>
      </c>
      <c r="BC10" s="1234">
        <v>0.39583333333333331</v>
      </c>
      <c r="BD10" s="1234">
        <v>0.72916666666666663</v>
      </c>
      <c r="BE10" s="1111">
        <v>0.79166666666666663</v>
      </c>
      <c r="BF10" s="1111">
        <v>8.3333333333333329E-2</v>
      </c>
      <c r="BG10" s="1193">
        <v>0.6875</v>
      </c>
      <c r="BH10" s="1193">
        <v>0</v>
      </c>
      <c r="BI10" s="1234">
        <v>0.47916666666666669</v>
      </c>
      <c r="BJ10" s="1234">
        <v>0.8125</v>
      </c>
      <c r="BK10" s="1111">
        <v>0.79166666666666663</v>
      </c>
      <c r="BL10" s="1111">
        <v>8.3333333333333329E-2</v>
      </c>
      <c r="BM10" s="957" t="s">
        <v>142</v>
      </c>
      <c r="BN10" s="1638" t="s">
        <v>19</v>
      </c>
      <c r="BO10" s="1634">
        <v>0.54166666666666663</v>
      </c>
      <c r="BP10" s="1625">
        <v>0.875</v>
      </c>
      <c r="BQ10" s="1626">
        <v>0.39583333333333331</v>
      </c>
      <c r="BR10" s="1626">
        <v>0.72916666666666663</v>
      </c>
      <c r="BS10" s="1627" t="s">
        <v>92</v>
      </c>
      <c r="BT10" s="1627" t="s">
        <v>92</v>
      </c>
      <c r="BU10" s="1628">
        <v>0.64583333333333337</v>
      </c>
      <c r="BV10" s="1628">
        <v>0.96527777777777779</v>
      </c>
      <c r="BW10" s="1629">
        <v>0.54166666666666663</v>
      </c>
      <c r="BX10" s="1629">
        <v>0.875</v>
      </c>
      <c r="BY10" s="1630" t="s">
        <v>135</v>
      </c>
      <c r="BZ10" s="1630" t="s">
        <v>138</v>
      </c>
      <c r="CA10" s="1046">
        <v>0.79166666666666663</v>
      </c>
      <c r="CB10" s="1047">
        <v>8.3333333333333329E-2</v>
      </c>
      <c r="CC10" s="1775" t="s">
        <v>142</v>
      </c>
      <c r="CD10" s="1845" t="s">
        <v>19</v>
      </c>
      <c r="CE10" s="1843">
        <v>0.6875</v>
      </c>
      <c r="CF10" s="1333">
        <v>0</v>
      </c>
      <c r="CG10" s="1311" t="s">
        <v>93</v>
      </c>
      <c r="CH10" s="1311" t="s">
        <v>93</v>
      </c>
      <c r="CI10" s="1891">
        <v>0.79166666666666663</v>
      </c>
      <c r="CJ10" s="1892">
        <v>8.3333333333333329E-2</v>
      </c>
      <c r="CK10" s="1893" t="s">
        <v>94</v>
      </c>
      <c r="CL10" s="1894" t="s">
        <v>94</v>
      </c>
      <c r="CM10" s="1275">
        <v>0.66666666666666663</v>
      </c>
      <c r="CN10" s="1193">
        <v>0.97916666666666663</v>
      </c>
      <c r="CO10" s="1193">
        <v>0.66666666666666663</v>
      </c>
      <c r="CP10" s="1193">
        <v>0.97916666666666663</v>
      </c>
      <c r="CQ10" s="1193">
        <v>0.66666666666666663</v>
      </c>
      <c r="CR10" s="1357">
        <v>0.97916666666666663</v>
      </c>
      <c r="CS10" s="1775" t="s">
        <v>142</v>
      </c>
      <c r="CT10" s="1984" t="s">
        <v>19</v>
      </c>
      <c r="CU10" s="1980">
        <v>0.54166666666666663</v>
      </c>
      <c r="CV10" s="1947">
        <v>0.875</v>
      </c>
      <c r="CW10" s="1113">
        <v>0.39583333333333331</v>
      </c>
      <c r="CX10" s="1113">
        <v>0.72916666666666663</v>
      </c>
      <c r="CY10" s="1958" t="s">
        <v>95</v>
      </c>
      <c r="CZ10" s="1958" t="s">
        <v>95</v>
      </c>
      <c r="DA10" s="1952">
        <v>0.625</v>
      </c>
      <c r="DB10" s="1954">
        <v>0.94444444444444442</v>
      </c>
      <c r="DC10" s="1453">
        <v>0.64583333333333337</v>
      </c>
      <c r="DD10" s="1232">
        <v>0.96527777777777779</v>
      </c>
      <c r="DE10" s="1948">
        <v>0.79166666666666663</v>
      </c>
      <c r="DF10" s="1957">
        <v>8.3333333333333329E-2</v>
      </c>
      <c r="DG10" s="1948">
        <v>0.6875</v>
      </c>
      <c r="DH10" s="1974">
        <v>6.25E-2</v>
      </c>
    </row>
    <row r="11" spans="1:112" ht="16.5" thickBot="1" x14ac:dyDescent="0.3">
      <c r="A11" s="957"/>
      <c r="B11" s="1007"/>
      <c r="C11" s="1566"/>
      <c r="D11" s="1567"/>
      <c r="E11" s="1568"/>
      <c r="F11" s="1568"/>
      <c r="G11" s="1038"/>
      <c r="H11" s="1038"/>
      <c r="I11" s="1051"/>
      <c r="J11" s="1052"/>
      <c r="K11" s="1568"/>
      <c r="L11" s="1568"/>
      <c r="M11" s="1054"/>
      <c r="N11" s="1054"/>
      <c r="O11" s="1567"/>
      <c r="P11" s="1569"/>
      <c r="Q11" s="1994" t="s">
        <v>277</v>
      </c>
      <c r="R11" s="1995" t="s">
        <v>19</v>
      </c>
      <c r="S11" s="1981"/>
      <c r="T11" s="1883"/>
      <c r="U11" s="1955">
        <v>0.64583333333333337</v>
      </c>
      <c r="V11" s="1955">
        <v>0.96527777777777779</v>
      </c>
      <c r="W11" s="1885">
        <v>0.66666666666666663</v>
      </c>
      <c r="X11" s="1886">
        <v>0.97916666666666663</v>
      </c>
      <c r="Y11" s="1956">
        <v>0.66666666666666663</v>
      </c>
      <c r="Z11" s="2013">
        <v>0.97916666666666663</v>
      </c>
      <c r="AA11" s="1597">
        <v>0.64583333333333337</v>
      </c>
      <c r="AB11" s="1579">
        <v>0.96527777777777779</v>
      </c>
      <c r="AC11" s="1579">
        <v>0.64583333333333337</v>
      </c>
      <c r="AD11" s="1579">
        <v>0.96527777777777779</v>
      </c>
      <c r="AE11" s="1579">
        <v>0.54166666666666663</v>
      </c>
      <c r="AF11" s="1774">
        <v>0.875</v>
      </c>
      <c r="AG11" s="1615"/>
      <c r="AH11" s="1615"/>
      <c r="AI11" s="1564"/>
      <c r="AJ11" s="1564"/>
      <c r="AK11" s="1564"/>
      <c r="AL11" s="1564"/>
      <c r="AM11" s="1564"/>
      <c r="AN11" s="1564"/>
      <c r="AO11" s="1564"/>
      <c r="AP11" s="1564"/>
      <c r="AQ11" s="1564"/>
      <c r="AR11" s="1564"/>
      <c r="AS11" s="1564"/>
      <c r="AT11" s="1564"/>
      <c r="AU11" s="1564"/>
      <c r="AV11" s="1564"/>
      <c r="AW11" s="1615"/>
      <c r="AX11" s="1615"/>
      <c r="AY11" s="1615"/>
      <c r="AZ11" s="1615"/>
      <c r="BA11" s="1615"/>
      <c r="BB11" s="1615"/>
      <c r="BC11" s="1615"/>
      <c r="BD11" s="1615"/>
      <c r="BE11" s="1615"/>
      <c r="BF11" s="1615"/>
      <c r="BG11" s="1615"/>
      <c r="BH11" s="1615"/>
      <c r="BI11" s="1615"/>
      <c r="BJ11" s="1615"/>
      <c r="BK11" s="1615"/>
      <c r="BL11" s="1615"/>
      <c r="BM11" s="1615"/>
      <c r="BN11" s="1615"/>
      <c r="BO11" s="1615"/>
      <c r="BP11" s="1615"/>
      <c r="BQ11" s="1615"/>
      <c r="BR11" s="1615"/>
      <c r="BS11" s="1615"/>
      <c r="BT11" s="1615"/>
      <c r="BU11" s="1615"/>
      <c r="BV11" s="1615"/>
      <c r="BW11" s="1615"/>
      <c r="BX11" s="1615"/>
      <c r="BY11" s="1615"/>
      <c r="BZ11" s="1615"/>
      <c r="CA11" s="1615"/>
      <c r="CB11" s="1615"/>
      <c r="CC11" s="1775" t="s">
        <v>277</v>
      </c>
      <c r="CD11" s="1845" t="s">
        <v>19</v>
      </c>
      <c r="CE11" s="1882"/>
      <c r="CF11" s="1883"/>
      <c r="CG11" s="1884">
        <v>0.5</v>
      </c>
      <c r="CH11" s="1884">
        <v>0.83333333333333337</v>
      </c>
      <c r="CI11" s="1885">
        <v>0.64583333333333337</v>
      </c>
      <c r="CJ11" s="1886">
        <v>0.96527777777777779</v>
      </c>
      <c r="CK11" s="1887"/>
      <c r="CL11" s="1888"/>
      <c r="CM11" s="1305">
        <v>0.54166666666666663</v>
      </c>
      <c r="CN11" s="1305">
        <v>0.875</v>
      </c>
      <c r="CO11" s="1305">
        <v>0.54166666666666663</v>
      </c>
      <c r="CP11" s="1305">
        <v>0.875</v>
      </c>
      <c r="CQ11" s="1305">
        <v>0.4375</v>
      </c>
      <c r="CR11" s="1359">
        <v>0.85416666666666663</v>
      </c>
      <c r="CS11" s="1994" t="s">
        <v>277</v>
      </c>
      <c r="CT11" s="1995" t="s">
        <v>19</v>
      </c>
      <c r="CU11" s="1981"/>
      <c r="CV11" s="1883"/>
      <c r="CW11" s="1955">
        <v>0.64583333333333337</v>
      </c>
      <c r="CX11" s="1955">
        <v>0.96527777777777779</v>
      </c>
      <c r="CY11" s="1885">
        <v>0.66666666666666663</v>
      </c>
      <c r="CZ11" s="1886">
        <v>0.97916666666666663</v>
      </c>
      <c r="DA11" s="1956">
        <v>0.66666666666666663</v>
      </c>
      <c r="DB11" s="2013">
        <v>0.97916666666666663</v>
      </c>
      <c r="DC11" s="1597">
        <v>0.64583333333333337</v>
      </c>
      <c r="DD11" s="1579">
        <v>0.96527777777777779</v>
      </c>
      <c r="DE11" s="1579">
        <v>0.64583333333333337</v>
      </c>
      <c r="DF11" s="1579">
        <v>0.96527777777777779</v>
      </c>
      <c r="DG11" s="1579">
        <v>0.54166666666666663</v>
      </c>
      <c r="DH11" s="1774">
        <v>0.875</v>
      </c>
    </row>
    <row r="12" spans="1:112" ht="16.5" thickBot="1" x14ac:dyDescent="0.3">
      <c r="A12" s="957" t="s">
        <v>143</v>
      </c>
      <c r="B12" s="958" t="s">
        <v>19</v>
      </c>
      <c r="C12" s="1040">
        <v>0.66666666666666663</v>
      </c>
      <c r="D12" s="1041">
        <v>0.97916666666666663</v>
      </c>
      <c r="E12" s="1042">
        <v>0.64583333333333337</v>
      </c>
      <c r="F12" s="1042">
        <v>0.96527777777777779</v>
      </c>
      <c r="G12" s="1011">
        <v>0.54166666666666663</v>
      </c>
      <c r="H12" s="1011">
        <v>0.875</v>
      </c>
      <c r="I12" s="1043"/>
      <c r="J12" s="1044"/>
      <c r="K12" s="1042">
        <v>0.66666666666666663</v>
      </c>
      <c r="L12" s="1042">
        <v>0.97916666666666663</v>
      </c>
      <c r="M12" s="1045"/>
      <c r="N12" s="1045"/>
      <c r="O12" s="1046">
        <v>0.79166666666666663</v>
      </c>
      <c r="P12" s="1047">
        <v>8.3333333333333329E-2</v>
      </c>
      <c r="Q12" s="1996" t="s">
        <v>144</v>
      </c>
      <c r="R12" s="1997" t="s">
        <v>145</v>
      </c>
      <c r="S12" s="1989">
        <v>0.4375</v>
      </c>
      <c r="T12" s="1975">
        <v>0.77083333333333337</v>
      </c>
      <c r="U12" s="2028">
        <v>0.4375</v>
      </c>
      <c r="V12" s="1444">
        <v>0.77083333333333337</v>
      </c>
      <c r="W12" s="1207">
        <v>0.875</v>
      </c>
      <c r="X12" s="1976">
        <v>0.16666666666666666</v>
      </c>
      <c r="Y12" s="2029">
        <v>0.72916666666666663</v>
      </c>
      <c r="Z12" s="2030">
        <v>1</v>
      </c>
      <c r="AA12" s="2019"/>
      <c r="AB12" s="2020"/>
      <c r="AC12" s="2021"/>
      <c r="AD12" s="2021"/>
      <c r="AE12" s="1444">
        <v>0.64583333333333337</v>
      </c>
      <c r="AF12" s="1445">
        <v>0.96527777777777779</v>
      </c>
      <c r="AG12" s="1510" t="s">
        <v>142</v>
      </c>
      <c r="AH12" s="1511" t="s">
        <v>19</v>
      </c>
      <c r="AI12" s="2036"/>
      <c r="AJ12" s="2036"/>
      <c r="AK12" s="2035"/>
      <c r="AL12" s="2035"/>
      <c r="AM12" s="1193"/>
      <c r="AN12" s="1193"/>
      <c r="AO12" s="1193"/>
      <c r="AP12" s="1193"/>
      <c r="AQ12" s="1193"/>
      <c r="AR12" s="1193"/>
      <c r="AS12" s="1193"/>
      <c r="AT12" s="1193"/>
      <c r="AU12" s="1193"/>
      <c r="AV12" s="1193"/>
      <c r="AW12" s="1181" t="s">
        <v>144</v>
      </c>
      <c r="AX12" s="1116" t="s">
        <v>145</v>
      </c>
      <c r="AY12" s="1260">
        <v>0.41666666666666669</v>
      </c>
      <c r="AZ12" s="1260">
        <v>0.70833333333333337</v>
      </c>
      <c r="BA12" s="1237">
        <v>0.64583333333333337</v>
      </c>
      <c r="BB12" s="1237">
        <v>0.96527777777777779</v>
      </c>
      <c r="BC12" s="1193">
        <v>0.625</v>
      </c>
      <c r="BD12" s="1193">
        <v>0.94444444444444442</v>
      </c>
      <c r="BE12" s="1193">
        <v>0.45833333333333331</v>
      </c>
      <c r="BF12" s="1193">
        <v>0.79166666666666663</v>
      </c>
      <c r="BG12" s="1509"/>
      <c r="BH12" s="1509"/>
      <c r="BI12" s="1442"/>
      <c r="BJ12" s="1442"/>
      <c r="BK12" s="1442"/>
      <c r="BL12" s="1442"/>
      <c r="BM12" s="1181" t="s">
        <v>144</v>
      </c>
      <c r="BN12" s="1116" t="s">
        <v>145</v>
      </c>
      <c r="BO12" s="1612">
        <v>0.41666666666666669</v>
      </c>
      <c r="BP12" s="1612">
        <v>0.70833333333333337</v>
      </c>
      <c r="BQ12" s="1520">
        <v>0.64583333333333337</v>
      </c>
      <c r="BR12" s="1520">
        <v>0.96527777777777779</v>
      </c>
      <c r="BS12" s="1613">
        <v>0.46527777777777779</v>
      </c>
      <c r="BT12" s="1613">
        <v>0.79861111111111116</v>
      </c>
      <c r="BU12" s="1113">
        <v>0.39583333333333331</v>
      </c>
      <c r="BV12" s="1113">
        <v>0.72916666666666663</v>
      </c>
      <c r="BW12" s="1614"/>
      <c r="BX12" s="1615"/>
      <c r="BY12" s="1615"/>
      <c r="BZ12" s="1615"/>
      <c r="CA12" s="1615"/>
      <c r="CB12" s="1615"/>
      <c r="CC12" s="1776" t="s">
        <v>144</v>
      </c>
      <c r="CD12" s="1851" t="s">
        <v>145</v>
      </c>
      <c r="CE12" s="1854">
        <v>0.41666666666666669</v>
      </c>
      <c r="CF12" s="1855">
        <v>0.75</v>
      </c>
      <c r="CG12" s="1732"/>
      <c r="CH12" s="1732"/>
      <c r="CI12" s="1642">
        <v>0.54166666666666663</v>
      </c>
      <c r="CJ12" s="1869">
        <v>0.875</v>
      </c>
      <c r="CK12" s="1872">
        <v>0.39583333333333331</v>
      </c>
      <c r="CL12" s="1725">
        <v>0.72916666666666663</v>
      </c>
      <c r="CM12" s="1707"/>
      <c r="CN12" s="1708"/>
      <c r="CO12" s="1704"/>
      <c r="CP12" s="1704"/>
      <c r="CQ12" s="1709"/>
      <c r="CR12" s="1985"/>
      <c r="CS12" s="1996" t="s">
        <v>144</v>
      </c>
      <c r="CT12" s="1997" t="s">
        <v>145</v>
      </c>
      <c r="CU12" s="1989">
        <v>0.4375</v>
      </c>
      <c r="CV12" s="1975">
        <v>0.77083333333333337</v>
      </c>
      <c r="CW12" s="2028">
        <v>0.4375</v>
      </c>
      <c r="CX12" s="1444">
        <v>0.77083333333333337</v>
      </c>
      <c r="CY12" s="1207">
        <v>0.875</v>
      </c>
      <c r="CZ12" s="1976">
        <v>0.16666666666666666</v>
      </c>
      <c r="DA12" s="2029">
        <v>0.72916666666666663</v>
      </c>
      <c r="DB12" s="2030">
        <v>1</v>
      </c>
      <c r="DC12" s="2019"/>
      <c r="DD12" s="2020"/>
      <c r="DE12" s="2021"/>
      <c r="DF12" s="2021"/>
      <c r="DG12" s="1444">
        <v>0.64583333333333337</v>
      </c>
      <c r="DH12" s="1445">
        <v>0.96527777777777779</v>
      </c>
    </row>
    <row r="13" spans="1:112" ht="15.75" x14ac:dyDescent="0.25">
      <c r="A13" s="957"/>
      <c r="B13" s="1007"/>
      <c r="C13" s="1048"/>
      <c r="D13" s="1049"/>
      <c r="E13" s="1050"/>
      <c r="F13" s="1050"/>
      <c r="G13" s="956"/>
      <c r="H13" s="956"/>
      <c r="I13" s="1051"/>
      <c r="J13" s="1052"/>
      <c r="K13" s="1053"/>
      <c r="L13" s="1050"/>
      <c r="M13" s="1054"/>
      <c r="N13" s="1054"/>
      <c r="O13" s="1055"/>
      <c r="P13" s="1056"/>
      <c r="Q13" s="1776" t="s">
        <v>146</v>
      </c>
      <c r="R13" s="1998" t="s">
        <v>145</v>
      </c>
      <c r="S13" s="1990">
        <v>0.39583333333333331</v>
      </c>
      <c r="T13" s="1113">
        <v>0.72916666666666663</v>
      </c>
      <c r="U13" s="1338"/>
      <c r="V13" s="1763"/>
      <c r="W13" s="1968">
        <v>0.54166666666666663</v>
      </c>
      <c r="X13" s="1969">
        <v>0.83333333333333337</v>
      </c>
      <c r="Y13" s="1113">
        <v>0.39583333333333331</v>
      </c>
      <c r="Z13" s="1962">
        <v>0.72916666666666663</v>
      </c>
      <c r="AA13" s="2022">
        <v>0.39583333333333331</v>
      </c>
      <c r="AB13" s="1234">
        <v>0.72916666666666663</v>
      </c>
      <c r="AC13" s="1245"/>
      <c r="AD13" s="1245"/>
      <c r="AE13" s="1338"/>
      <c r="AF13" s="1354"/>
      <c r="AG13" s="1181" t="s">
        <v>144</v>
      </c>
      <c r="AH13" s="1116" t="s">
        <v>145</v>
      </c>
      <c r="AI13" s="1232"/>
      <c r="AJ13" s="1232"/>
      <c r="AK13" s="1237"/>
      <c r="AL13" s="1237"/>
      <c r="AM13" s="1193"/>
      <c r="AN13" s="1193"/>
      <c r="AO13" s="1193"/>
      <c r="AP13" s="1193"/>
      <c r="AQ13" s="1237"/>
      <c r="AR13" s="1237"/>
      <c r="AS13" s="1237"/>
      <c r="AT13" s="1237"/>
      <c r="AU13" s="1237"/>
      <c r="AV13" s="1237"/>
      <c r="AW13" s="1182" t="s">
        <v>146</v>
      </c>
      <c r="AX13" s="1116" t="s">
        <v>145</v>
      </c>
      <c r="AY13" s="1234">
        <v>0.47916666666666669</v>
      </c>
      <c r="AZ13" s="1234">
        <v>0.77083333333333337</v>
      </c>
      <c r="BA13" s="1283"/>
      <c r="BB13" s="1283"/>
      <c r="BC13" s="1111">
        <v>0.83333333333333337</v>
      </c>
      <c r="BD13" s="1111">
        <v>0.125</v>
      </c>
      <c r="BE13" s="1237">
        <v>0.64583333333333337</v>
      </c>
      <c r="BF13" s="1237">
        <v>0.96527777777777779</v>
      </c>
      <c r="BG13" s="1283"/>
      <c r="BH13" s="1283"/>
      <c r="BI13" s="1442"/>
      <c r="BJ13" s="1442"/>
      <c r="BK13" s="1600">
        <v>0.6875</v>
      </c>
      <c r="BL13" s="1600">
        <v>0.96527777777777779</v>
      </c>
      <c r="BM13" s="1182" t="s">
        <v>146</v>
      </c>
      <c r="BN13" s="1116" t="s">
        <v>145</v>
      </c>
      <c r="BO13" s="1446">
        <v>0.64583333333333337</v>
      </c>
      <c r="BP13" s="1233">
        <v>0.96527777777777779</v>
      </c>
      <c r="BQ13" s="1232">
        <v>0.6875</v>
      </c>
      <c r="BR13" s="1232">
        <v>0</v>
      </c>
      <c r="BS13" s="964"/>
      <c r="BT13" s="964"/>
      <c r="BU13" s="1111">
        <v>0.79166666666666663</v>
      </c>
      <c r="BV13" s="1111">
        <v>8.3333333333333329E-2</v>
      </c>
      <c r="BW13" s="1364"/>
      <c r="BX13" s="1338"/>
      <c r="BY13" s="1338"/>
      <c r="BZ13" s="1338"/>
      <c r="CA13" s="1338"/>
      <c r="CB13" s="1763"/>
      <c r="CC13" s="1776" t="s">
        <v>146</v>
      </c>
      <c r="CD13" s="1851" t="s">
        <v>145</v>
      </c>
      <c r="CE13" s="1521">
        <v>0.64583333333333337</v>
      </c>
      <c r="CF13" s="1233">
        <v>0.96527777777777779</v>
      </c>
      <c r="CG13" s="1733"/>
      <c r="CH13" s="1733"/>
      <c r="CI13" s="1234">
        <v>0.39583333333333331</v>
      </c>
      <c r="CJ13" s="1836">
        <v>0.72916666666666663</v>
      </c>
      <c r="CK13" s="1392">
        <v>0.45833333333333331</v>
      </c>
      <c r="CL13" s="1643">
        <v>0.79166666666666663</v>
      </c>
      <c r="CM13" s="1604">
        <v>0.79166666666666663</v>
      </c>
      <c r="CN13" s="1111">
        <v>8.3333333333333329E-2</v>
      </c>
      <c r="CO13" s="1706"/>
      <c r="CP13" s="1706"/>
      <c r="CQ13" s="1704"/>
      <c r="CR13" s="1986"/>
      <c r="CS13" s="1776" t="s">
        <v>146</v>
      </c>
      <c r="CT13" s="1998" t="s">
        <v>145</v>
      </c>
      <c r="CU13" s="1990">
        <v>0.39583333333333331</v>
      </c>
      <c r="CV13" s="1113">
        <v>0.72916666666666663</v>
      </c>
      <c r="CW13" s="1338"/>
      <c r="CX13" s="1763"/>
      <c r="CY13" s="1968">
        <v>0.54166666666666663</v>
      </c>
      <c r="CZ13" s="1969">
        <v>0.83333333333333337</v>
      </c>
      <c r="DA13" s="1113">
        <v>0.39583333333333331</v>
      </c>
      <c r="DB13" s="1962">
        <v>0.72916666666666663</v>
      </c>
      <c r="DC13" s="2022">
        <v>0.39583333333333331</v>
      </c>
      <c r="DD13" s="1234">
        <v>0.72916666666666663</v>
      </c>
      <c r="DE13" s="1245"/>
      <c r="DF13" s="1245"/>
      <c r="DG13" s="1338"/>
      <c r="DH13" s="1354"/>
    </row>
    <row r="14" spans="1:112" ht="15.75" x14ac:dyDescent="0.25">
      <c r="A14" s="957"/>
      <c r="B14" s="1007"/>
      <c r="C14" s="1048"/>
      <c r="D14" s="1049"/>
      <c r="E14" s="1050"/>
      <c r="F14" s="1050"/>
      <c r="G14" s="956"/>
      <c r="H14" s="956"/>
      <c r="I14" s="1051"/>
      <c r="J14" s="1052"/>
      <c r="K14" s="1053"/>
      <c r="L14" s="1050"/>
      <c r="M14" s="1054"/>
      <c r="N14" s="1054"/>
      <c r="O14" s="1055"/>
      <c r="P14" s="1056"/>
      <c r="Q14" s="1776" t="s">
        <v>147</v>
      </c>
      <c r="R14" s="1998" t="s">
        <v>145</v>
      </c>
      <c r="S14" s="1367">
        <v>0.6875</v>
      </c>
      <c r="T14" s="1233">
        <v>0</v>
      </c>
      <c r="U14" s="1338"/>
      <c r="V14" s="1338"/>
      <c r="W14" s="1966">
        <v>0.6875</v>
      </c>
      <c r="X14" s="1967">
        <v>0.96527777777777779</v>
      </c>
      <c r="Y14" s="1447">
        <v>0.66666666666666663</v>
      </c>
      <c r="Z14" s="1452">
        <v>0.97916666666666663</v>
      </c>
      <c r="AA14" s="1977"/>
      <c r="AB14" s="1338"/>
      <c r="AC14" s="1234">
        <v>0.39583333333333331</v>
      </c>
      <c r="AD14" s="1234">
        <v>0.72916666666666663</v>
      </c>
      <c r="AE14" s="1283"/>
      <c r="AF14" s="2023"/>
      <c r="AG14" s="1182" t="s">
        <v>146</v>
      </c>
      <c r="AH14" s="1116" t="s">
        <v>145</v>
      </c>
      <c r="AI14" s="1193"/>
      <c r="AJ14" s="1193"/>
      <c r="AK14" s="1193"/>
      <c r="AL14" s="1193"/>
      <c r="AM14" s="1193"/>
      <c r="AN14" s="1193"/>
      <c r="AO14" s="1237"/>
      <c r="AP14" s="1237"/>
      <c r="AQ14" s="1193"/>
      <c r="AR14" s="1193"/>
      <c r="AS14" s="1237"/>
      <c r="AT14" s="1237"/>
      <c r="AU14" s="1237"/>
      <c r="AV14" s="1237"/>
      <c r="AW14" s="1183" t="s">
        <v>147</v>
      </c>
      <c r="AX14" s="1116" t="s">
        <v>145</v>
      </c>
      <c r="AY14" s="1237">
        <v>0.70833333333333337</v>
      </c>
      <c r="AZ14" s="1237">
        <v>0.97916666666666663</v>
      </c>
      <c r="BA14" s="1283"/>
      <c r="BB14" s="1283"/>
      <c r="BC14" s="1111">
        <v>0.75</v>
      </c>
      <c r="BD14" s="1111">
        <v>4.1666666666666664E-2</v>
      </c>
      <c r="BE14" s="1193">
        <v>0.6875</v>
      </c>
      <c r="BF14" s="1193">
        <v>0</v>
      </c>
      <c r="BG14" s="1193">
        <v>0.6875</v>
      </c>
      <c r="BH14" s="1193">
        <v>0</v>
      </c>
      <c r="BI14" s="1442"/>
      <c r="BJ14" s="1442"/>
      <c r="BK14" s="1442"/>
      <c r="BL14" s="1442"/>
      <c r="BM14" s="1183" t="s">
        <v>147</v>
      </c>
      <c r="BN14" s="1116" t="s">
        <v>145</v>
      </c>
      <c r="BO14" s="1446">
        <v>0.6875</v>
      </c>
      <c r="BP14" s="1233">
        <v>0</v>
      </c>
      <c r="BQ14" s="1453">
        <v>0.54166666666666663</v>
      </c>
      <c r="BR14" s="1232">
        <v>0.875</v>
      </c>
      <c r="BS14" s="964"/>
      <c r="BT14" s="964"/>
      <c r="BU14" s="1601">
        <v>0.6875</v>
      </c>
      <c r="BV14" s="1601">
        <v>0.96527777777777779</v>
      </c>
      <c r="BW14" s="1365">
        <v>0.6875</v>
      </c>
      <c r="BX14" s="1232">
        <v>0</v>
      </c>
      <c r="BY14" s="1245"/>
      <c r="BZ14" s="1245"/>
      <c r="CA14" s="1338"/>
      <c r="CB14" s="1763"/>
      <c r="CC14" s="1776" t="s">
        <v>147</v>
      </c>
      <c r="CD14" s="1851" t="s">
        <v>145</v>
      </c>
      <c r="CE14" s="1734"/>
      <c r="CF14" s="1231"/>
      <c r="CG14" s="1733"/>
      <c r="CH14" s="1733"/>
      <c r="CI14" s="1237">
        <v>0.54166666666666663</v>
      </c>
      <c r="CJ14" s="1837">
        <v>0.875</v>
      </c>
      <c r="CK14" s="1110">
        <v>0.79166666666666663</v>
      </c>
      <c r="CL14" s="1726">
        <v>8.3333333333333329E-2</v>
      </c>
      <c r="CM14" s="1705"/>
      <c r="CN14" s="1704"/>
      <c r="CO14" s="1706"/>
      <c r="CP14" s="1706"/>
      <c r="CQ14" s="1232">
        <v>0.58333333333333337</v>
      </c>
      <c r="CR14" s="1452">
        <v>0.90972222222222221</v>
      </c>
      <c r="CS14" s="1776" t="s">
        <v>147</v>
      </c>
      <c r="CT14" s="1998" t="s">
        <v>145</v>
      </c>
      <c r="CU14" s="1367">
        <v>0.6875</v>
      </c>
      <c r="CV14" s="1233">
        <v>0</v>
      </c>
      <c r="CW14" s="1338"/>
      <c r="CX14" s="1338"/>
      <c r="CY14" s="1966">
        <v>0.6875</v>
      </c>
      <c r="CZ14" s="1967">
        <v>0.96527777777777779</v>
      </c>
      <c r="DA14" s="1447">
        <v>0.66666666666666663</v>
      </c>
      <c r="DB14" s="1452">
        <v>0.97916666666666663</v>
      </c>
      <c r="DC14" s="1977"/>
      <c r="DD14" s="1338"/>
      <c r="DE14" s="1234">
        <v>0.39583333333333331</v>
      </c>
      <c r="DF14" s="1234">
        <v>0.72916666666666663</v>
      </c>
      <c r="DG14" s="1283"/>
      <c r="DH14" s="2023"/>
    </row>
    <row r="15" spans="1:112" ht="15.75" x14ac:dyDescent="0.25">
      <c r="A15" s="962" t="s">
        <v>148</v>
      </c>
      <c r="B15" s="963" t="s">
        <v>145</v>
      </c>
      <c r="C15" s="1064"/>
      <c r="D15" s="961"/>
      <c r="E15" s="1013">
        <v>0.54166666666666663</v>
      </c>
      <c r="F15" s="1013">
        <v>0.83333333333333337</v>
      </c>
      <c r="G15" s="1012">
        <v>0.64583333333333337</v>
      </c>
      <c r="H15" s="1011">
        <v>0.96527777777777779</v>
      </c>
      <c r="I15" s="953">
        <v>0.66666666666666663</v>
      </c>
      <c r="J15" s="953">
        <v>0.97916666666666663</v>
      </c>
      <c r="K15" s="1065"/>
      <c r="L15" s="1065"/>
      <c r="M15" s="1066"/>
      <c r="N15" s="1066"/>
      <c r="O15" s="964"/>
      <c r="P15" s="965"/>
      <c r="Q15" s="1776" t="s">
        <v>148</v>
      </c>
      <c r="R15" s="1999" t="s">
        <v>145</v>
      </c>
      <c r="S15" s="1991"/>
      <c r="T15" s="1960"/>
      <c r="U15" s="1965">
        <v>0.72916666666666663</v>
      </c>
      <c r="V15" s="1965">
        <v>1</v>
      </c>
      <c r="W15" s="1948">
        <v>0.79166666666666663</v>
      </c>
      <c r="X15" s="1957">
        <v>8.3333333333333329E-2</v>
      </c>
      <c r="Y15" s="1447">
        <v>0.66666666666666663</v>
      </c>
      <c r="Z15" s="1452">
        <v>0.97916666666666663</v>
      </c>
      <c r="AA15" s="1977"/>
      <c r="AB15" s="1338"/>
      <c r="AC15" s="1338"/>
      <c r="AD15" s="1338"/>
      <c r="AE15" s="1193">
        <v>0.66666666666666663</v>
      </c>
      <c r="AF15" s="1352">
        <v>0.97916666666666663</v>
      </c>
      <c r="AG15" s="1184" t="s">
        <v>148</v>
      </c>
      <c r="AH15" s="1117" t="s">
        <v>145</v>
      </c>
      <c r="AI15" s="1193"/>
      <c r="AJ15" s="1193"/>
      <c r="AK15" s="1193"/>
      <c r="AL15" s="1193"/>
      <c r="AM15" s="1193"/>
      <c r="AN15" s="1193"/>
      <c r="AO15" s="1193"/>
      <c r="AP15" s="1193"/>
      <c r="AQ15" s="1193"/>
      <c r="AR15" s="1193"/>
      <c r="AS15" s="1193"/>
      <c r="AT15" s="1193"/>
      <c r="AU15" s="1193"/>
      <c r="AV15" s="1193"/>
      <c r="AW15" s="1184" t="s">
        <v>148</v>
      </c>
      <c r="AX15" s="1362" t="s">
        <v>145</v>
      </c>
      <c r="AY15" s="1111">
        <v>0.83333333333333337</v>
      </c>
      <c r="AZ15" s="1111">
        <v>8.3333333333333329E-2</v>
      </c>
      <c r="BA15" s="1283"/>
      <c r="BB15" s="1283"/>
      <c r="BC15" s="1237">
        <v>0.58333333333333337</v>
      </c>
      <c r="BD15" s="1237">
        <v>0.90972222222222221</v>
      </c>
      <c r="BE15" s="1237">
        <v>0.64583333333333337</v>
      </c>
      <c r="BF15" s="1237">
        <v>0.96527777777777779</v>
      </c>
      <c r="BG15" s="1442"/>
      <c r="BH15" s="1442"/>
      <c r="BI15" s="1442"/>
      <c r="BJ15" s="1442"/>
      <c r="BK15" s="1509"/>
      <c r="BL15" s="1509"/>
      <c r="BM15" s="1184" t="s">
        <v>148</v>
      </c>
      <c r="BN15" s="1117" t="s">
        <v>145</v>
      </c>
      <c r="BO15" s="1453">
        <v>0.64583333333333337</v>
      </c>
      <c r="BP15" s="1232">
        <v>0.96527777777777779</v>
      </c>
      <c r="BQ15" s="1604">
        <v>0.79166666666666663</v>
      </c>
      <c r="BR15" s="1111">
        <v>8.3333333333333329E-2</v>
      </c>
      <c r="BS15" s="1601">
        <v>0.6875</v>
      </c>
      <c r="BT15" s="1601">
        <v>0.96527777777777779</v>
      </c>
      <c r="BU15" s="1232">
        <v>0.64583333333333337</v>
      </c>
      <c r="BV15" s="1247">
        <v>0.96527777777777779</v>
      </c>
      <c r="BW15" s="1364"/>
      <c r="BX15" s="1338"/>
      <c r="BY15" s="1338"/>
      <c r="BZ15" s="1338"/>
      <c r="CA15" s="1245"/>
      <c r="CB15" s="1764"/>
      <c r="CC15" s="1776" t="s">
        <v>148</v>
      </c>
      <c r="CD15" s="1852" t="s">
        <v>145</v>
      </c>
      <c r="CE15" s="1521">
        <v>0.54166666666666663</v>
      </c>
      <c r="CF15" s="1233">
        <v>0.875</v>
      </c>
      <c r="CG15" s="1508"/>
      <c r="CH15" s="1508"/>
      <c r="CI15" s="1233">
        <v>0.6875</v>
      </c>
      <c r="CJ15" s="1356">
        <v>0</v>
      </c>
      <c r="CK15" s="1447">
        <v>0.6875</v>
      </c>
      <c r="CL15" s="1523">
        <v>0</v>
      </c>
      <c r="CM15" s="1705"/>
      <c r="CN15" s="1704"/>
      <c r="CO15" s="1704"/>
      <c r="CP15" s="1704"/>
      <c r="CQ15" s="2032">
        <v>0.64583333333333337</v>
      </c>
      <c r="CR15" s="2033">
        <v>0.96527777777777779</v>
      </c>
      <c r="CS15" s="1776" t="s">
        <v>148</v>
      </c>
      <c r="CT15" s="1999" t="s">
        <v>145</v>
      </c>
      <c r="CU15" s="1991"/>
      <c r="CV15" s="1960"/>
      <c r="CW15" s="1965">
        <v>0.72916666666666663</v>
      </c>
      <c r="CX15" s="1965">
        <v>1</v>
      </c>
      <c r="CY15" s="1948">
        <v>0.79166666666666663</v>
      </c>
      <c r="CZ15" s="1957">
        <v>8.3333333333333329E-2</v>
      </c>
      <c r="DA15" s="1447">
        <v>0.66666666666666663</v>
      </c>
      <c r="DB15" s="1452">
        <v>0.97916666666666663</v>
      </c>
      <c r="DC15" s="1977"/>
      <c r="DD15" s="1338"/>
      <c r="DE15" s="1338"/>
      <c r="DF15" s="1338"/>
      <c r="DG15" s="1193">
        <v>0.66666666666666663</v>
      </c>
      <c r="DH15" s="1352">
        <v>0.97916666666666663</v>
      </c>
    </row>
    <row r="16" spans="1:112" ht="16.5" thickBot="1" x14ac:dyDescent="0.3">
      <c r="A16" s="962" t="s">
        <v>149</v>
      </c>
      <c r="B16" s="966" t="s">
        <v>145</v>
      </c>
      <c r="C16" s="1067" t="s">
        <v>132</v>
      </c>
      <c r="D16" s="1068" t="s">
        <v>132</v>
      </c>
      <c r="E16" s="1068" t="s">
        <v>132</v>
      </c>
      <c r="F16" s="1068" t="s">
        <v>132</v>
      </c>
      <c r="G16" s="1068" t="s">
        <v>132</v>
      </c>
      <c r="H16" s="1068" t="s">
        <v>132</v>
      </c>
      <c r="I16" s="1068" t="s">
        <v>132</v>
      </c>
      <c r="J16" s="1068" t="s">
        <v>132</v>
      </c>
      <c r="K16" s="1068" t="s">
        <v>132</v>
      </c>
      <c r="L16" s="1068" t="s">
        <v>132</v>
      </c>
      <c r="M16" s="1068" t="s">
        <v>132</v>
      </c>
      <c r="N16" s="1068" t="s">
        <v>132</v>
      </c>
      <c r="O16" s="1068" t="s">
        <v>132</v>
      </c>
      <c r="P16" s="1069" t="s">
        <v>132</v>
      </c>
      <c r="Q16" s="1776" t="s">
        <v>149</v>
      </c>
      <c r="R16" s="1999" t="s">
        <v>145</v>
      </c>
      <c r="S16" s="1992">
        <v>0.83333333333333337</v>
      </c>
      <c r="T16" s="1957">
        <v>8.3333333333333329E-2</v>
      </c>
      <c r="U16" s="1338"/>
      <c r="V16" s="1338"/>
      <c r="W16" s="1948">
        <v>0.79166666666666663</v>
      </c>
      <c r="X16" s="1957">
        <v>8.3333333333333329E-2</v>
      </c>
      <c r="Y16" s="1447">
        <v>0.64583333333333337</v>
      </c>
      <c r="Z16" s="1452">
        <v>0.96527777777777779</v>
      </c>
      <c r="AA16" s="2015"/>
      <c r="AB16" s="1245"/>
      <c r="AC16" s="1245"/>
      <c r="AD16" s="1245"/>
      <c r="AE16" s="1233">
        <v>0.64583333333333337</v>
      </c>
      <c r="AF16" s="1355">
        <v>0.96527777777777779</v>
      </c>
      <c r="AG16" s="1184" t="s">
        <v>149</v>
      </c>
      <c r="AH16" s="1362" t="s">
        <v>145</v>
      </c>
      <c r="AI16" s="1237"/>
      <c r="AJ16" s="1237"/>
      <c r="AK16" s="1193"/>
      <c r="AL16" s="1193"/>
      <c r="AM16" s="1237"/>
      <c r="AN16" s="1237"/>
      <c r="AO16" s="1237"/>
      <c r="AP16" s="1237"/>
      <c r="AQ16" s="1237"/>
      <c r="AR16" s="1237"/>
      <c r="AS16" s="1237"/>
      <c r="AT16" s="1237"/>
      <c r="AU16" s="1237"/>
      <c r="AV16" s="1237"/>
      <c r="AW16" s="1184" t="s">
        <v>149</v>
      </c>
      <c r="AX16" s="1362" t="s">
        <v>145</v>
      </c>
      <c r="AY16" s="1509"/>
      <c r="AZ16" s="1509"/>
      <c r="BA16" s="1111">
        <v>0.79166666666666663</v>
      </c>
      <c r="BB16" s="1111">
        <v>8.3333333333333329E-2</v>
      </c>
      <c r="BC16" s="1237">
        <v>0.72916666666666663</v>
      </c>
      <c r="BD16" s="1237">
        <v>0</v>
      </c>
      <c r="BE16" s="1237">
        <v>0.66666666666666663</v>
      </c>
      <c r="BF16" s="1237">
        <v>0.97916666666666663</v>
      </c>
      <c r="BG16" s="1442"/>
      <c r="BH16" s="1442"/>
      <c r="BI16" s="1442"/>
      <c r="BJ16" s="1442"/>
      <c r="BK16" s="1509"/>
      <c r="BL16" s="1509"/>
      <c r="BM16" s="1184" t="s">
        <v>149</v>
      </c>
      <c r="BN16" s="1117" t="s">
        <v>145</v>
      </c>
      <c r="BO16" s="1446">
        <v>0.66666666666666663</v>
      </c>
      <c r="BP16" s="1233">
        <v>0.97916666666666663</v>
      </c>
      <c r="BQ16" s="1193">
        <v>0.66666666666666663</v>
      </c>
      <c r="BR16" s="1193">
        <v>0.97916666666666663</v>
      </c>
      <c r="BS16" s="1111">
        <v>0.83333333333333337</v>
      </c>
      <c r="BT16" s="1111">
        <v>8.3333333333333329E-2</v>
      </c>
      <c r="BU16" s="1232">
        <v>0.6875</v>
      </c>
      <c r="BV16" s="1247">
        <v>0</v>
      </c>
      <c r="BW16" s="1367">
        <v>0.66666666666666663</v>
      </c>
      <c r="BX16" s="1233">
        <v>0.97916666666666663</v>
      </c>
      <c r="BY16" s="1245"/>
      <c r="BZ16" s="1245"/>
      <c r="CA16" s="1245"/>
      <c r="CB16" s="1764"/>
      <c r="CC16" s="1776" t="s">
        <v>149</v>
      </c>
      <c r="CD16" s="1852" t="s">
        <v>145</v>
      </c>
      <c r="CE16" s="1685"/>
      <c r="CF16" s="1245"/>
      <c r="CG16" s="1338"/>
      <c r="CH16" s="1338"/>
      <c r="CI16" s="1193">
        <v>0.6875</v>
      </c>
      <c r="CJ16" s="1357">
        <v>0</v>
      </c>
      <c r="CK16" s="1110">
        <v>0.79166666666666663</v>
      </c>
      <c r="CL16" s="1726">
        <v>8.3333333333333329E-2</v>
      </c>
      <c r="CM16" s="1713"/>
      <c r="CN16" s="1706"/>
      <c r="CO16" s="1706"/>
      <c r="CP16" s="1706"/>
      <c r="CQ16" s="1233">
        <v>0.6875</v>
      </c>
      <c r="CR16" s="1356">
        <v>0</v>
      </c>
      <c r="CS16" s="1776" t="s">
        <v>149</v>
      </c>
      <c r="CT16" s="1999" t="s">
        <v>145</v>
      </c>
      <c r="CU16" s="1992">
        <v>0.83333333333333337</v>
      </c>
      <c r="CV16" s="1957">
        <v>8.3333333333333329E-2</v>
      </c>
      <c r="CW16" s="1338"/>
      <c r="CX16" s="1338"/>
      <c r="CY16" s="1948">
        <v>0.79166666666666663</v>
      </c>
      <c r="CZ16" s="1957">
        <v>8.3333333333333329E-2</v>
      </c>
      <c r="DA16" s="1447">
        <v>0.64583333333333337</v>
      </c>
      <c r="DB16" s="1452">
        <v>0.96527777777777779</v>
      </c>
      <c r="DC16" s="2015"/>
      <c r="DD16" s="1245"/>
      <c r="DE16" s="1245"/>
      <c r="DF16" s="1245"/>
      <c r="DG16" s="1233">
        <v>0.64583333333333337</v>
      </c>
      <c r="DH16" s="1355">
        <v>0.96527777777777779</v>
      </c>
    </row>
    <row r="17" spans="1:347" ht="15.75" x14ac:dyDescent="0.25">
      <c r="A17" s="967"/>
      <c r="B17" s="968"/>
      <c r="C17" s="1070"/>
      <c r="D17" s="1071"/>
      <c r="E17" s="1071"/>
      <c r="F17" s="1071"/>
      <c r="G17" s="1071"/>
      <c r="H17" s="1071"/>
      <c r="I17" s="1071"/>
      <c r="J17" s="1072"/>
      <c r="K17" s="1070"/>
      <c r="L17" s="1071"/>
      <c r="M17" s="1071"/>
      <c r="N17" s="1071"/>
      <c r="O17" s="1071"/>
      <c r="P17" s="1072"/>
      <c r="Q17" s="1776" t="s">
        <v>150</v>
      </c>
      <c r="R17" s="1999" t="s">
        <v>145</v>
      </c>
      <c r="S17" s="2018">
        <v>0.70833333333333337</v>
      </c>
      <c r="T17" s="1968">
        <v>0.97916666666666663</v>
      </c>
      <c r="U17" s="1338"/>
      <c r="V17" s="1338"/>
      <c r="W17" s="1233">
        <v>0.6875</v>
      </c>
      <c r="X17" s="1356">
        <v>1</v>
      </c>
      <c r="Y17" s="1233">
        <v>0.6875</v>
      </c>
      <c r="Z17" s="1356">
        <v>1</v>
      </c>
      <c r="AA17" s="1373"/>
      <c r="AB17" s="1231"/>
      <c r="AC17" s="1231"/>
      <c r="AD17" s="1231"/>
      <c r="AE17" s="1245"/>
      <c r="AF17" s="1353"/>
      <c r="AG17" s="1182" t="s">
        <v>150</v>
      </c>
      <c r="AH17" s="1316" t="s">
        <v>145</v>
      </c>
      <c r="AI17" s="1237"/>
      <c r="AJ17" s="1237"/>
      <c r="AK17" s="1193"/>
      <c r="AL17" s="1193"/>
      <c r="AM17" s="1193"/>
      <c r="AN17" s="1193"/>
      <c r="AO17" s="1193"/>
      <c r="AP17" s="1193"/>
      <c r="AQ17" s="1237"/>
      <c r="AR17" s="1237"/>
      <c r="AS17" s="1237"/>
      <c r="AT17" s="1237"/>
      <c r="AU17" s="1237"/>
      <c r="AV17" s="1237"/>
      <c r="AW17" s="1182" t="s">
        <v>150</v>
      </c>
      <c r="AX17" s="1316" t="s">
        <v>145</v>
      </c>
      <c r="AY17" s="1509"/>
      <c r="AZ17" s="1509"/>
      <c r="BA17" s="1462">
        <v>0.45833333333333331</v>
      </c>
      <c r="BB17" s="1462">
        <v>0.75</v>
      </c>
      <c r="BC17" s="1193">
        <v>0.45833333333333331</v>
      </c>
      <c r="BD17" s="1193">
        <v>0.79166666666666663</v>
      </c>
      <c r="BE17" s="1193">
        <v>0.66666666666666663</v>
      </c>
      <c r="BF17" s="1193">
        <v>0.97916666666666663</v>
      </c>
      <c r="BG17" s="1442"/>
      <c r="BH17" s="1442"/>
      <c r="BI17" s="1442"/>
      <c r="BJ17" s="1442"/>
      <c r="BK17" s="1509"/>
      <c r="BL17" s="1509"/>
      <c r="BM17" s="1182" t="s">
        <v>150</v>
      </c>
      <c r="BN17" s="1117" t="s">
        <v>145</v>
      </c>
      <c r="BO17" s="1453">
        <v>0.45833333333333331</v>
      </c>
      <c r="BP17" s="1232">
        <v>0.79166666666666663</v>
      </c>
      <c r="BQ17" s="1453">
        <v>0.66666666666666663</v>
      </c>
      <c r="BR17" s="1232">
        <v>0.97916666666666663</v>
      </c>
      <c r="BS17" s="1601">
        <v>0.54166666666666663</v>
      </c>
      <c r="BT17" s="1601">
        <v>0.83333333333333337</v>
      </c>
      <c r="BU17" s="1233">
        <v>0.64583333333333337</v>
      </c>
      <c r="BV17" s="1355">
        <v>0.96527777777777779</v>
      </c>
      <c r="BW17" s="1363"/>
      <c r="BX17" s="1245"/>
      <c r="BY17" s="1245"/>
      <c r="BZ17" s="1245"/>
      <c r="CA17" s="1689">
        <v>0.79166666666666663</v>
      </c>
      <c r="CB17" s="1765">
        <v>8.3333333333333329E-2</v>
      </c>
      <c r="CC17" s="1776" t="s">
        <v>150</v>
      </c>
      <c r="CD17" s="1852" t="s">
        <v>145</v>
      </c>
      <c r="CE17" s="1685"/>
      <c r="CF17" s="1245"/>
      <c r="CG17" s="1338"/>
      <c r="CH17" s="1338"/>
      <c r="CI17" s="1233">
        <v>0.45833333333333331</v>
      </c>
      <c r="CJ17" s="1356">
        <v>0.79166666666666663</v>
      </c>
      <c r="CK17" s="1449">
        <v>0.54166666666666663</v>
      </c>
      <c r="CL17" s="1522">
        <v>0.875</v>
      </c>
      <c r="CM17" s="1713"/>
      <c r="CN17" s="1706"/>
      <c r="CO17" s="1706"/>
      <c r="CP17" s="1706"/>
      <c r="CQ17" s="1233">
        <v>0.64583333333333337</v>
      </c>
      <c r="CR17" s="1356">
        <v>0.96527777777777779</v>
      </c>
      <c r="CS17" s="1776" t="s">
        <v>150</v>
      </c>
      <c r="CT17" s="1999" t="s">
        <v>145</v>
      </c>
      <c r="CU17" s="2018">
        <v>0.70833333333333337</v>
      </c>
      <c r="CV17" s="1968">
        <v>0.97916666666666663</v>
      </c>
      <c r="CW17" s="1338"/>
      <c r="CX17" s="1338"/>
      <c r="CY17" s="1233">
        <v>0.6875</v>
      </c>
      <c r="CZ17" s="1356">
        <v>1</v>
      </c>
      <c r="DA17" s="1233">
        <v>0.6875</v>
      </c>
      <c r="DB17" s="1356">
        <v>1</v>
      </c>
      <c r="DC17" s="1373"/>
      <c r="DD17" s="1231"/>
      <c r="DE17" s="1231"/>
      <c r="DF17" s="1231"/>
      <c r="DG17" s="1245"/>
      <c r="DH17" s="1353"/>
    </row>
    <row r="18" spans="1:347" ht="15.75" x14ac:dyDescent="0.25">
      <c r="A18" s="967"/>
      <c r="B18" s="968"/>
      <c r="C18" s="1070"/>
      <c r="D18" s="1071"/>
      <c r="E18" s="1071"/>
      <c r="F18" s="1071"/>
      <c r="G18" s="1071"/>
      <c r="H18" s="1071"/>
      <c r="I18" s="1071"/>
      <c r="J18" s="1072"/>
      <c r="K18" s="1070"/>
      <c r="L18" s="1071"/>
      <c r="M18" s="1071"/>
      <c r="N18" s="1071"/>
      <c r="O18" s="1071"/>
      <c r="P18" s="1072"/>
      <c r="Q18" s="1182" t="s">
        <v>151</v>
      </c>
      <c r="R18" s="1999" t="s">
        <v>145</v>
      </c>
      <c r="S18" s="1705"/>
      <c r="T18" s="1704"/>
      <c r="U18" s="1111">
        <v>0.79166666666666663</v>
      </c>
      <c r="V18" s="1111">
        <v>8.3333333333333329E-2</v>
      </c>
      <c r="W18" s="1233">
        <v>0.6875</v>
      </c>
      <c r="X18" s="1356">
        <v>1</v>
      </c>
      <c r="Y18" s="2031">
        <v>0.54166666666666663</v>
      </c>
      <c r="Z18" s="1969">
        <v>0.83333333333333337</v>
      </c>
      <c r="AA18" s="2015"/>
      <c r="AB18" s="1245"/>
      <c r="AC18" s="1338"/>
      <c r="AD18" s="1338"/>
      <c r="AE18" s="1233">
        <v>0.66666666666666663</v>
      </c>
      <c r="AF18" s="1355">
        <v>0.97916666666666663</v>
      </c>
      <c r="AG18" s="1182" t="s">
        <v>151</v>
      </c>
      <c r="AH18" s="1117" t="s">
        <v>145</v>
      </c>
      <c r="AI18" s="1237"/>
      <c r="AJ18" s="1237"/>
      <c r="AK18" s="1193"/>
      <c r="AL18" s="1193"/>
      <c r="AM18" s="1237"/>
      <c r="AN18" s="1237"/>
      <c r="AO18" s="1237"/>
      <c r="AP18" s="1237"/>
      <c r="AQ18" s="1237"/>
      <c r="AR18" s="1237"/>
      <c r="AS18" s="1237"/>
      <c r="AT18" s="1237"/>
      <c r="AU18" s="1237"/>
      <c r="AV18" s="1237"/>
      <c r="AW18" s="1182" t="s">
        <v>151</v>
      </c>
      <c r="AX18" s="1117" t="s">
        <v>145</v>
      </c>
      <c r="AY18" s="1442"/>
      <c r="AZ18" s="1442"/>
      <c r="BA18" s="1462">
        <v>0.45833333333333331</v>
      </c>
      <c r="BB18" s="1462">
        <v>0.75</v>
      </c>
      <c r="BC18" s="1237">
        <v>0.64583333333333337</v>
      </c>
      <c r="BD18" s="1237">
        <v>0.96527777777777779</v>
      </c>
      <c r="BE18" s="1237">
        <v>0.66666666666666663</v>
      </c>
      <c r="BF18" s="1237">
        <v>0.97916666666666663</v>
      </c>
      <c r="BG18" s="1509"/>
      <c r="BH18" s="1509"/>
      <c r="BI18" s="1509"/>
      <c r="BJ18" s="1509"/>
      <c r="BK18" s="1509"/>
      <c r="BL18" s="1509"/>
      <c r="BM18" s="1182" t="s">
        <v>152</v>
      </c>
      <c r="BN18" s="1117" t="s">
        <v>145</v>
      </c>
      <c r="BO18" s="1453">
        <v>0.6875</v>
      </c>
      <c r="BP18" s="1232">
        <v>0</v>
      </c>
      <c r="BQ18" s="1232">
        <v>0.54166666666666663</v>
      </c>
      <c r="BR18" s="1232">
        <v>0.875</v>
      </c>
      <c r="BS18" s="1233">
        <v>0.64583333333333337</v>
      </c>
      <c r="BT18" s="1233">
        <v>0.96527777777777779</v>
      </c>
      <c r="BU18" s="1601">
        <v>0.70833333333333337</v>
      </c>
      <c r="BV18" s="1603">
        <v>0.97916666666666663</v>
      </c>
      <c r="BW18" s="1363"/>
      <c r="BX18" s="1245"/>
      <c r="BY18" s="1234">
        <v>0.47916666666666669</v>
      </c>
      <c r="BZ18" s="1234">
        <v>0.8125</v>
      </c>
      <c r="CA18" s="1245"/>
      <c r="CB18" s="1764"/>
      <c r="CC18" s="1182" t="s">
        <v>151</v>
      </c>
      <c r="CD18" s="1852" t="s">
        <v>145</v>
      </c>
      <c r="CE18" s="1727"/>
      <c r="CF18" s="1704"/>
      <c r="CG18" s="1111">
        <v>0.79166666666666663</v>
      </c>
      <c r="CH18" s="1111">
        <v>8.3333333333333329E-2</v>
      </c>
      <c r="CI18" s="1233">
        <v>0.64583333333333337</v>
      </c>
      <c r="CJ18" s="1356">
        <v>0.96527777777777779</v>
      </c>
      <c r="CK18" s="1873"/>
      <c r="CL18" s="1743"/>
      <c r="CM18" s="1713"/>
      <c r="CN18" s="1706"/>
      <c r="CO18" s="1508"/>
      <c r="CP18" s="1508"/>
      <c r="CQ18" s="1233">
        <v>0.64583333333333337</v>
      </c>
      <c r="CR18" s="1356">
        <v>0.96527777777777779</v>
      </c>
      <c r="CS18" s="1182" t="s">
        <v>151</v>
      </c>
      <c r="CT18" s="1999" t="s">
        <v>145</v>
      </c>
      <c r="CU18" s="1705"/>
      <c r="CV18" s="1704"/>
      <c r="CW18" s="1111">
        <v>0.79166666666666663</v>
      </c>
      <c r="CX18" s="1111">
        <v>8.3333333333333329E-2</v>
      </c>
      <c r="CY18" s="1233">
        <v>0.6875</v>
      </c>
      <c r="CZ18" s="1356">
        <v>1</v>
      </c>
      <c r="DA18" s="2031">
        <v>0.54166666666666663</v>
      </c>
      <c r="DB18" s="1969">
        <v>0.83333333333333337</v>
      </c>
      <c r="DC18" s="2015"/>
      <c r="DD18" s="1245"/>
      <c r="DE18" s="1338"/>
      <c r="DF18" s="1338"/>
      <c r="DG18" s="1233">
        <v>0.66666666666666663</v>
      </c>
      <c r="DH18" s="1355">
        <v>0.97916666666666663</v>
      </c>
    </row>
    <row r="19" spans="1:347" ht="15.75" x14ac:dyDescent="0.25">
      <c r="A19" s="967"/>
      <c r="B19" s="968"/>
      <c r="C19" s="1070"/>
      <c r="D19" s="1071"/>
      <c r="E19" s="1071"/>
      <c r="F19" s="1071"/>
      <c r="G19" s="1071"/>
      <c r="H19" s="1071"/>
      <c r="I19" s="1071"/>
      <c r="J19" s="1072"/>
      <c r="K19" s="1070"/>
      <c r="L19" s="1071"/>
      <c r="M19" s="1071"/>
      <c r="N19" s="1071"/>
      <c r="O19" s="1071"/>
      <c r="P19" s="1072"/>
      <c r="Q19" s="1776" t="s">
        <v>153</v>
      </c>
      <c r="R19" s="1999" t="s">
        <v>145</v>
      </c>
      <c r="S19" s="1993"/>
      <c r="T19" s="1733"/>
      <c r="U19" s="1965">
        <v>0.45833333333333331</v>
      </c>
      <c r="V19" s="1965">
        <v>0.75</v>
      </c>
      <c r="W19" s="1233">
        <v>0.64583333333333337</v>
      </c>
      <c r="X19" s="1356">
        <v>0.96527777777777779</v>
      </c>
      <c r="Y19" s="1449">
        <v>0.64583333333333337</v>
      </c>
      <c r="Z19" s="1356">
        <v>0.96527777777777779</v>
      </c>
      <c r="AA19" s="1373"/>
      <c r="AB19" s="1231"/>
      <c r="AC19" s="1245"/>
      <c r="AD19" s="1245"/>
      <c r="AE19" s="1245"/>
      <c r="AF19" s="1353"/>
      <c r="AG19" s="1182" t="s">
        <v>153</v>
      </c>
      <c r="AH19" s="1117" t="s">
        <v>145</v>
      </c>
      <c r="AI19" s="1237"/>
      <c r="AJ19" s="1237"/>
      <c r="AK19" s="1193"/>
      <c r="AL19" s="1193"/>
      <c r="AM19" s="1237"/>
      <c r="AN19" s="1237"/>
      <c r="AO19" s="1237"/>
      <c r="AP19" s="1237"/>
      <c r="AQ19" s="1237"/>
      <c r="AR19" s="1237"/>
      <c r="AS19" s="1237"/>
      <c r="AT19" s="1237"/>
      <c r="AU19" s="1237"/>
      <c r="AV19" s="1237"/>
      <c r="AW19" s="1182" t="s">
        <v>153</v>
      </c>
      <c r="AX19" s="1117" t="s">
        <v>145</v>
      </c>
      <c r="AY19" s="1442"/>
      <c r="AZ19" s="1442"/>
      <c r="BA19" s="1462">
        <v>0.45833333333333331</v>
      </c>
      <c r="BB19" s="1462">
        <v>0.75</v>
      </c>
      <c r="BC19" s="1237">
        <v>0.6875</v>
      </c>
      <c r="BD19" s="1237">
        <v>0</v>
      </c>
      <c r="BE19" s="1237">
        <v>0.58333333333333337</v>
      </c>
      <c r="BF19" s="1237">
        <v>0.90972222222222221</v>
      </c>
      <c r="BG19" s="1509"/>
      <c r="BH19" s="1509"/>
      <c r="BI19" s="1442"/>
      <c r="BJ19" s="1442"/>
      <c r="BK19" s="1509"/>
      <c r="BL19" s="1509"/>
      <c r="BM19" s="1182" t="s">
        <v>153</v>
      </c>
      <c r="BN19" s="1117" t="s">
        <v>145</v>
      </c>
      <c r="BO19" s="1453">
        <v>0.625</v>
      </c>
      <c r="BP19" s="1232">
        <v>0.94444444444444442</v>
      </c>
      <c r="BQ19" s="1232">
        <v>0.625</v>
      </c>
      <c r="BR19" s="1232">
        <v>0.94444444444444442</v>
      </c>
      <c r="BS19" s="1233">
        <v>0.64583333333333337</v>
      </c>
      <c r="BT19" s="1233">
        <v>0.96527777777777779</v>
      </c>
      <c r="BU19" s="1601">
        <v>0.72916666666666663</v>
      </c>
      <c r="BV19" s="1603">
        <v>0</v>
      </c>
      <c r="BW19" s="1363"/>
      <c r="BX19" s="1245"/>
      <c r="BY19" s="1245"/>
      <c r="BZ19" s="1245"/>
      <c r="CA19" s="1245"/>
      <c r="CB19" s="1764"/>
      <c r="CC19" s="1776" t="s">
        <v>153</v>
      </c>
      <c r="CD19" s="1852" t="s">
        <v>145</v>
      </c>
      <c r="CE19" s="1735"/>
      <c r="CF19" s="1733"/>
      <c r="CG19" s="1234">
        <v>0.39583333333333331</v>
      </c>
      <c r="CH19" s="1234">
        <v>0.72916666666666663</v>
      </c>
      <c r="CI19" s="1233">
        <v>0.64583333333333337</v>
      </c>
      <c r="CJ19" s="1356">
        <v>0.96527777777777779</v>
      </c>
      <c r="CK19" s="1449">
        <v>0.64583333333333337</v>
      </c>
      <c r="CL19" s="1522">
        <v>0.96527777777777779</v>
      </c>
      <c r="CM19" s="1713"/>
      <c r="CN19" s="1706"/>
      <c r="CO19" s="1706"/>
      <c r="CP19" s="1706"/>
      <c r="CQ19" s="1233">
        <v>0.64583333333333337</v>
      </c>
      <c r="CR19" s="1356">
        <v>0.96527777777777779</v>
      </c>
      <c r="CS19" s="1776" t="s">
        <v>153</v>
      </c>
      <c r="CT19" s="1999" t="s">
        <v>145</v>
      </c>
      <c r="CU19" s="1993"/>
      <c r="CV19" s="1733"/>
      <c r="CW19" s="1965">
        <v>0.45833333333333331</v>
      </c>
      <c r="CX19" s="1965">
        <v>0.75</v>
      </c>
      <c r="CY19" s="1233">
        <v>0.64583333333333337</v>
      </c>
      <c r="CZ19" s="1356">
        <v>0.96527777777777779</v>
      </c>
      <c r="DA19" s="1449">
        <v>0.64583333333333337</v>
      </c>
      <c r="DB19" s="1356">
        <v>0.96527777777777779</v>
      </c>
      <c r="DC19" s="1373"/>
      <c r="DD19" s="1231"/>
      <c r="DE19" s="1245"/>
      <c r="DF19" s="1245"/>
      <c r="DG19" s="1245"/>
      <c r="DH19" s="1353"/>
    </row>
    <row r="20" spans="1:347" ht="15.75" x14ac:dyDescent="0.25">
      <c r="A20" s="967"/>
      <c r="B20" s="968"/>
      <c r="C20" s="1070"/>
      <c r="D20" s="1071"/>
      <c r="E20" s="1071"/>
      <c r="F20" s="1071"/>
      <c r="G20" s="1071"/>
      <c r="H20" s="1071"/>
      <c r="I20" s="1071"/>
      <c r="J20" s="1072"/>
      <c r="K20" s="1070"/>
      <c r="L20" s="1071"/>
      <c r="M20" s="1071"/>
      <c r="N20" s="1071"/>
      <c r="O20" s="1071"/>
      <c r="P20" s="1072"/>
      <c r="Q20" s="1776" t="s">
        <v>154</v>
      </c>
      <c r="R20" s="1999" t="s">
        <v>145</v>
      </c>
      <c r="S20" s="1364"/>
      <c r="T20" s="1338"/>
      <c r="U20" s="1733"/>
      <c r="V20" s="1733"/>
      <c r="W20" s="1233">
        <v>0.54166666666666663</v>
      </c>
      <c r="X20" s="1356">
        <v>0.875</v>
      </c>
      <c r="Y20" s="1449">
        <v>0.58333333333333337</v>
      </c>
      <c r="Z20" s="1356">
        <v>0.90972222222222221</v>
      </c>
      <c r="AA20" s="1446">
        <v>0.4375</v>
      </c>
      <c r="AB20" s="1233">
        <v>0.77083333333333337</v>
      </c>
      <c r="AC20" s="1733"/>
      <c r="AD20" s="1733"/>
      <c r="AE20" s="1245"/>
      <c r="AF20" s="1353"/>
      <c r="AG20" s="1182" t="s">
        <v>154</v>
      </c>
      <c r="AH20" s="1117" t="s">
        <v>145</v>
      </c>
      <c r="AI20" s="1237"/>
      <c r="AJ20" s="1237"/>
      <c r="AK20" s="1193"/>
      <c r="AL20" s="1193"/>
      <c r="AM20" s="1237"/>
      <c r="AN20" s="1237"/>
      <c r="AO20" s="1237"/>
      <c r="AP20" s="1237"/>
      <c r="AQ20" s="1237"/>
      <c r="AR20" s="1237"/>
      <c r="AS20" s="1237"/>
      <c r="AT20" s="1237"/>
      <c r="AU20" s="1237"/>
      <c r="AV20" s="1237"/>
      <c r="AW20" s="1182" t="s">
        <v>154</v>
      </c>
      <c r="AX20" s="1117" t="s">
        <v>145</v>
      </c>
      <c r="AY20" s="1442"/>
      <c r="AZ20" s="1442"/>
      <c r="BA20" s="1462">
        <v>0.45833333333333331</v>
      </c>
      <c r="BB20" s="1462">
        <v>0.75</v>
      </c>
      <c r="BC20" s="1237">
        <v>0.66666666666666663</v>
      </c>
      <c r="BD20" s="1237">
        <v>0.97916666666666663</v>
      </c>
      <c r="BE20" s="1237">
        <v>0.54166666666666663</v>
      </c>
      <c r="BF20" s="1237">
        <v>0.875</v>
      </c>
      <c r="BG20" s="1509"/>
      <c r="BH20" s="1509"/>
      <c r="BI20" s="1442"/>
      <c r="BJ20" s="1442"/>
      <c r="BK20" s="1509"/>
      <c r="BL20" s="1509"/>
      <c r="BM20" s="1182" t="s">
        <v>154</v>
      </c>
      <c r="BN20" s="1117" t="s">
        <v>145</v>
      </c>
      <c r="BO20" s="1453">
        <v>0.58333333333333337</v>
      </c>
      <c r="BP20" s="1232">
        <v>0.90972222222222221</v>
      </c>
      <c r="BQ20" s="1453">
        <v>0.58333333333333337</v>
      </c>
      <c r="BR20" s="1232">
        <v>0.90972222222222221</v>
      </c>
      <c r="BS20" s="1601">
        <v>0.70833333333333337</v>
      </c>
      <c r="BT20" s="1601">
        <v>0.97916666666666663</v>
      </c>
      <c r="BU20" s="1233">
        <v>0.58333333333333337</v>
      </c>
      <c r="BV20" s="1355">
        <v>0.90972222222222221</v>
      </c>
      <c r="BW20" s="1363"/>
      <c r="BX20" s="1245"/>
      <c r="BY20" s="1245"/>
      <c r="BZ20" s="1245"/>
      <c r="CA20" s="1245"/>
      <c r="CB20" s="1764"/>
      <c r="CC20" s="1776" t="s">
        <v>154</v>
      </c>
      <c r="CD20" s="1852" t="s">
        <v>145</v>
      </c>
      <c r="CE20" s="1728">
        <v>0.58333333333333337</v>
      </c>
      <c r="CF20" s="1232">
        <v>0.90972222222222221</v>
      </c>
      <c r="CG20" s="1733"/>
      <c r="CH20" s="1733"/>
      <c r="CI20" s="1233">
        <v>0.66666666666666663</v>
      </c>
      <c r="CJ20" s="1356">
        <v>0.97916666666666663</v>
      </c>
      <c r="CK20" s="1449">
        <v>0.58333333333333337</v>
      </c>
      <c r="CL20" s="1522">
        <v>0.90972222222222221</v>
      </c>
      <c r="CM20" s="1713"/>
      <c r="CN20" s="1706"/>
      <c r="CO20" s="1193">
        <v>0.4375</v>
      </c>
      <c r="CP20" s="1193">
        <v>0.77083333333333337</v>
      </c>
      <c r="CQ20" s="1231"/>
      <c r="CR20" s="1964"/>
      <c r="CS20" s="1776" t="s">
        <v>154</v>
      </c>
      <c r="CT20" s="1999" t="s">
        <v>145</v>
      </c>
      <c r="CU20" s="1364"/>
      <c r="CV20" s="1338"/>
      <c r="CW20" s="1733"/>
      <c r="CX20" s="1733"/>
      <c r="CY20" s="1233">
        <v>0.54166666666666663</v>
      </c>
      <c r="CZ20" s="1356">
        <v>0.875</v>
      </c>
      <c r="DA20" s="1449">
        <v>0.58333333333333337</v>
      </c>
      <c r="DB20" s="1356">
        <v>0.90972222222222221</v>
      </c>
      <c r="DC20" s="1446">
        <v>0.4375</v>
      </c>
      <c r="DD20" s="1233">
        <v>0.77083333333333337</v>
      </c>
      <c r="DE20" s="1733"/>
      <c r="DF20" s="1733"/>
      <c r="DG20" s="1245"/>
      <c r="DH20" s="1353"/>
    </row>
    <row r="21" spans="1:347" ht="15.75" x14ac:dyDescent="0.25">
      <c r="A21" s="967"/>
      <c r="B21" s="968"/>
      <c r="C21" s="1070"/>
      <c r="D21" s="1071"/>
      <c r="E21" s="1071"/>
      <c r="F21" s="1071"/>
      <c r="G21" s="1071"/>
      <c r="H21" s="1071"/>
      <c r="I21" s="1071"/>
      <c r="J21" s="1072"/>
      <c r="K21" s="1070"/>
      <c r="L21" s="1071"/>
      <c r="M21" s="1071"/>
      <c r="N21" s="1071"/>
      <c r="O21" s="1071"/>
      <c r="P21" s="1072"/>
      <c r="Q21" s="1776" t="s">
        <v>155</v>
      </c>
      <c r="R21" s="1999" t="s">
        <v>145</v>
      </c>
      <c r="S21" s="1993"/>
      <c r="T21" s="1733"/>
      <c r="U21" s="1965">
        <v>0.70833333333333337</v>
      </c>
      <c r="V21" s="1965">
        <v>0.97916666666666663</v>
      </c>
      <c r="W21" s="1233">
        <v>0.64583333333333337</v>
      </c>
      <c r="X21" s="1356">
        <v>0.96527777777777779</v>
      </c>
      <c r="Y21" s="1449">
        <v>0.66666666666666663</v>
      </c>
      <c r="Z21" s="1356">
        <v>0.97916666666666663</v>
      </c>
      <c r="AA21" s="2015"/>
      <c r="AB21" s="1245"/>
      <c r="AC21" s="1338"/>
      <c r="AD21" s="1338"/>
      <c r="AE21" s="1245"/>
      <c r="AF21" s="1353"/>
      <c r="AG21" s="1182" t="s">
        <v>155</v>
      </c>
      <c r="AH21" s="1117" t="s">
        <v>145</v>
      </c>
      <c r="AI21" s="1237"/>
      <c r="AJ21" s="1237"/>
      <c r="AK21" s="1193"/>
      <c r="AL21" s="1193"/>
      <c r="AM21" s="1237"/>
      <c r="AN21" s="1237"/>
      <c r="AO21" s="1237"/>
      <c r="AP21" s="1237"/>
      <c r="AQ21" s="1237"/>
      <c r="AR21" s="1237"/>
      <c r="AS21" s="1237"/>
      <c r="AT21" s="1237"/>
      <c r="AU21" s="1237"/>
      <c r="AV21" s="1237"/>
      <c r="AW21" s="1182" t="s">
        <v>155</v>
      </c>
      <c r="AX21" s="1117" t="s">
        <v>145</v>
      </c>
      <c r="AY21" s="1442"/>
      <c r="AZ21" s="1442"/>
      <c r="BA21" s="1462">
        <v>0.45833333333333331</v>
      </c>
      <c r="BB21" s="1462">
        <v>0.75</v>
      </c>
      <c r="BC21" s="1237">
        <v>0.6875</v>
      </c>
      <c r="BD21" s="1237">
        <v>0</v>
      </c>
      <c r="BE21" s="1237">
        <v>0.64583333333333337</v>
      </c>
      <c r="BF21" s="1237">
        <v>0.96527777777777779</v>
      </c>
      <c r="BG21" s="1509"/>
      <c r="BH21" s="1509"/>
      <c r="BI21" s="1509"/>
      <c r="BJ21" s="1509"/>
      <c r="BK21" s="1509"/>
      <c r="BL21" s="1509"/>
      <c r="BM21" s="1182" t="s">
        <v>155</v>
      </c>
      <c r="BN21" s="1117" t="s">
        <v>145</v>
      </c>
      <c r="BO21" s="1453">
        <v>0.66666666666666663</v>
      </c>
      <c r="BP21" s="1232">
        <v>0.97916666666666663</v>
      </c>
      <c r="BQ21" s="1232">
        <v>0.64583333333333337</v>
      </c>
      <c r="BR21" s="1232">
        <v>0.96527777777777779</v>
      </c>
      <c r="BS21" s="1601">
        <v>0.70833333333333337</v>
      </c>
      <c r="BT21" s="1601">
        <v>0.97916666666666663</v>
      </c>
      <c r="BU21" s="1233">
        <v>0.66666666666666663</v>
      </c>
      <c r="BV21" s="1355">
        <v>0.97916666666666663</v>
      </c>
      <c r="BW21" s="1363"/>
      <c r="BX21" s="1245"/>
      <c r="BY21" s="1245"/>
      <c r="BZ21" s="1245"/>
      <c r="CA21" s="1245"/>
      <c r="CB21" s="1764"/>
      <c r="CC21" s="1776" t="s">
        <v>155</v>
      </c>
      <c r="CD21" s="1852" t="s">
        <v>145</v>
      </c>
      <c r="CE21" s="1735"/>
      <c r="CF21" s="1733"/>
      <c r="CG21" s="1232">
        <v>0.64583333333333337</v>
      </c>
      <c r="CH21" s="1232">
        <v>0.96527777777777779</v>
      </c>
      <c r="CI21" s="1233">
        <v>0.66666666666666663</v>
      </c>
      <c r="CJ21" s="1356">
        <v>0.97916666666666663</v>
      </c>
      <c r="CK21" s="1449">
        <v>0.66666666666666663</v>
      </c>
      <c r="CL21" s="1522">
        <v>0.97916666666666663</v>
      </c>
      <c r="CM21" s="1713"/>
      <c r="CN21" s="1706"/>
      <c r="CO21" s="1193">
        <v>0.64583333333333337</v>
      </c>
      <c r="CP21" s="1193">
        <v>0.96527777777777779</v>
      </c>
      <c r="CQ21" s="1706"/>
      <c r="CR21" s="1987"/>
      <c r="CS21" s="1776" t="s">
        <v>155</v>
      </c>
      <c r="CT21" s="1999" t="s">
        <v>145</v>
      </c>
      <c r="CU21" s="1993"/>
      <c r="CV21" s="1733"/>
      <c r="CW21" s="1965">
        <v>0.70833333333333337</v>
      </c>
      <c r="CX21" s="1965">
        <v>0.97916666666666663</v>
      </c>
      <c r="CY21" s="1233">
        <v>0.64583333333333337</v>
      </c>
      <c r="CZ21" s="1356">
        <v>0.96527777777777779</v>
      </c>
      <c r="DA21" s="1449">
        <v>0.66666666666666663</v>
      </c>
      <c r="DB21" s="1356">
        <v>0.97916666666666663</v>
      </c>
      <c r="DC21" s="2015"/>
      <c r="DD21" s="1245"/>
      <c r="DE21" s="1338"/>
      <c r="DF21" s="1338"/>
      <c r="DG21" s="1245"/>
      <c r="DH21" s="1353"/>
    </row>
    <row r="22" spans="1:347" ht="15.75" x14ac:dyDescent="0.25">
      <c r="A22" s="967"/>
      <c r="B22" s="968"/>
      <c r="C22" s="1070"/>
      <c r="D22" s="1071"/>
      <c r="E22" s="1071"/>
      <c r="F22" s="1071"/>
      <c r="G22" s="1071"/>
      <c r="H22" s="1071"/>
      <c r="I22" s="1071"/>
      <c r="J22" s="1072"/>
      <c r="K22" s="1070"/>
      <c r="L22" s="1071"/>
      <c r="M22" s="1071"/>
      <c r="N22" s="1071"/>
      <c r="O22" s="1071"/>
      <c r="P22" s="1072"/>
      <c r="Q22" s="1776" t="s">
        <v>156</v>
      </c>
      <c r="R22" s="1999" t="s">
        <v>145</v>
      </c>
      <c r="S22" s="1993"/>
      <c r="T22" s="1961"/>
      <c r="U22" s="1742"/>
      <c r="V22" s="1733"/>
      <c r="W22" s="1233">
        <v>0.4375</v>
      </c>
      <c r="X22" s="1356">
        <v>0.77083333333333337</v>
      </c>
      <c r="Y22" s="1613">
        <v>0.4375</v>
      </c>
      <c r="Z22" s="1963">
        <v>0.77083333333333337</v>
      </c>
      <c r="AA22" s="1373"/>
      <c r="AB22" s="1231"/>
      <c r="AC22" s="1338"/>
      <c r="AD22" s="1338"/>
      <c r="AE22" s="1245"/>
      <c r="AF22" s="1353"/>
      <c r="AG22" s="1182" t="s">
        <v>156</v>
      </c>
      <c r="AH22" s="1117" t="s">
        <v>145</v>
      </c>
      <c r="AI22" s="1237"/>
      <c r="AJ22" s="1237"/>
      <c r="AK22" s="1193"/>
      <c r="AL22" s="1193"/>
      <c r="AM22" s="1237"/>
      <c r="AN22" s="1237"/>
      <c r="AO22" s="1237"/>
      <c r="AP22" s="1237"/>
      <c r="AQ22" s="1237"/>
      <c r="AR22" s="1237"/>
      <c r="AS22" s="1237"/>
      <c r="AT22" s="1237"/>
      <c r="AU22" s="1237"/>
      <c r="AV22" s="1237"/>
      <c r="AW22" s="1182" t="s">
        <v>156</v>
      </c>
      <c r="AX22" s="1117" t="s">
        <v>145</v>
      </c>
      <c r="AY22" s="1509"/>
      <c r="AZ22" s="1509"/>
      <c r="BA22" s="1462">
        <v>0.45833333333333331</v>
      </c>
      <c r="BB22" s="1462">
        <v>0.79166666666666663</v>
      </c>
      <c r="BC22" s="1237">
        <v>0.64583333333333337</v>
      </c>
      <c r="BD22" s="1237">
        <v>0.96527777777777779</v>
      </c>
      <c r="BE22" s="1237">
        <v>0.64583333333333337</v>
      </c>
      <c r="BF22" s="1237">
        <v>0.96527777777777779</v>
      </c>
      <c r="BG22" s="1509"/>
      <c r="BH22" s="1509"/>
      <c r="BI22" s="1442"/>
      <c r="BJ22" s="1442"/>
      <c r="BK22" s="1509"/>
      <c r="BL22" s="1509"/>
      <c r="BM22" s="1182" t="s">
        <v>156</v>
      </c>
      <c r="BN22" s="1117" t="s">
        <v>145</v>
      </c>
      <c r="BO22" s="1453">
        <v>0.66666666666666663</v>
      </c>
      <c r="BP22" s="1232">
        <v>0.97916666666666663</v>
      </c>
      <c r="BQ22" s="1232">
        <v>0.66666666666666663</v>
      </c>
      <c r="BR22" s="1232">
        <v>0.97916666666666663</v>
      </c>
      <c r="BS22" s="1601">
        <v>0.72916666666666663</v>
      </c>
      <c r="BT22" s="1601">
        <v>0</v>
      </c>
      <c r="BU22" s="1233">
        <v>0.6875</v>
      </c>
      <c r="BV22" s="1355">
        <v>0</v>
      </c>
      <c r="BW22" s="1363"/>
      <c r="BX22" s="1245"/>
      <c r="BY22" s="1245"/>
      <c r="BZ22" s="1245"/>
      <c r="CA22" s="1245"/>
      <c r="CB22" s="1764"/>
      <c r="CC22" s="1776" t="s">
        <v>156</v>
      </c>
      <c r="CD22" s="1852" t="s">
        <v>145</v>
      </c>
      <c r="CE22" s="1735"/>
      <c r="CF22" s="1733"/>
      <c r="CG22" s="1232">
        <v>0.66666666666666663</v>
      </c>
      <c r="CH22" s="1232">
        <v>0.97916666666666663</v>
      </c>
      <c r="CI22" s="1233">
        <v>0.66666666666666663</v>
      </c>
      <c r="CJ22" s="1356">
        <v>0</v>
      </c>
      <c r="CK22" s="1449">
        <v>0.6875</v>
      </c>
      <c r="CL22" s="1522">
        <v>0</v>
      </c>
      <c r="CM22" s="1853"/>
      <c r="CN22" s="1231"/>
      <c r="CO22" s="1193">
        <v>0.64583333333333337</v>
      </c>
      <c r="CP22" s="1193">
        <v>0.96527777777777779</v>
      </c>
      <c r="CQ22" s="1706"/>
      <c r="CR22" s="1987"/>
      <c r="CS22" s="1776" t="s">
        <v>156</v>
      </c>
      <c r="CT22" s="1999" t="s">
        <v>145</v>
      </c>
      <c r="CU22" s="1993"/>
      <c r="CV22" s="1961"/>
      <c r="CW22" s="1742"/>
      <c r="CX22" s="1733"/>
      <c r="CY22" s="1233">
        <v>0.4375</v>
      </c>
      <c r="CZ22" s="1356">
        <v>0.77083333333333337</v>
      </c>
      <c r="DA22" s="1613">
        <v>0.4375</v>
      </c>
      <c r="DB22" s="1963">
        <v>0.77083333333333337</v>
      </c>
      <c r="DC22" s="1373"/>
      <c r="DD22" s="1231"/>
      <c r="DE22" s="1338"/>
      <c r="DF22" s="1338"/>
      <c r="DG22" s="1245"/>
      <c r="DH22" s="1353"/>
    </row>
    <row r="23" spans="1:347" ht="15.75" x14ac:dyDescent="0.25">
      <c r="A23" s="967"/>
      <c r="B23" s="968"/>
      <c r="C23" s="1070"/>
      <c r="D23" s="1071"/>
      <c r="E23" s="1071"/>
      <c r="F23" s="1071"/>
      <c r="G23" s="1071"/>
      <c r="H23" s="1071"/>
      <c r="I23" s="1071"/>
      <c r="J23" s="1072"/>
      <c r="K23" s="1070"/>
      <c r="L23" s="1071"/>
      <c r="M23" s="1071"/>
      <c r="N23" s="1071"/>
      <c r="O23" s="1071"/>
      <c r="P23" s="1072"/>
      <c r="Q23" s="1776" t="s">
        <v>157</v>
      </c>
      <c r="R23" s="1999" t="s">
        <v>145</v>
      </c>
      <c r="S23" s="1993"/>
      <c r="T23" s="1961"/>
      <c r="U23" s="1742"/>
      <c r="V23" s="1733"/>
      <c r="W23" s="1233">
        <v>0.58333333333333337</v>
      </c>
      <c r="X23" s="1356">
        <v>0.90972222222222221</v>
      </c>
      <c r="Y23" s="1449">
        <v>0.66666666666666663</v>
      </c>
      <c r="Z23" s="1356">
        <v>0.97916666666666663</v>
      </c>
      <c r="AA23" s="1446">
        <v>0.66666666666666663</v>
      </c>
      <c r="AB23" s="1233">
        <v>0.97916666666666663</v>
      </c>
      <c r="AC23" s="1338"/>
      <c r="AD23" s="1338"/>
      <c r="AE23" s="1245"/>
      <c r="AF23" s="1353"/>
      <c r="AG23" s="1182" t="s">
        <v>157</v>
      </c>
      <c r="AH23" s="1117" t="s">
        <v>145</v>
      </c>
      <c r="AI23" s="1237"/>
      <c r="AJ23" s="1237"/>
      <c r="AK23" s="1193"/>
      <c r="AL23" s="1193"/>
      <c r="AM23" s="1237"/>
      <c r="AN23" s="1237"/>
      <c r="AO23" s="1237"/>
      <c r="AP23" s="1237"/>
      <c r="AQ23" s="1237"/>
      <c r="AR23" s="1237"/>
      <c r="AS23" s="1237"/>
      <c r="AT23" s="1237"/>
      <c r="AU23" s="1237"/>
      <c r="AV23" s="1237"/>
      <c r="AW23" s="1182" t="s">
        <v>157</v>
      </c>
      <c r="AX23" s="1117" t="s">
        <v>145</v>
      </c>
      <c r="AY23" s="1442"/>
      <c r="AZ23" s="1442"/>
      <c r="BA23" s="1462">
        <v>0.45833333333333331</v>
      </c>
      <c r="BB23" s="1462">
        <v>0.75</v>
      </c>
      <c r="BC23" s="1596">
        <v>0.54166666666666663</v>
      </c>
      <c r="BD23" s="1596">
        <v>0.875</v>
      </c>
      <c r="BE23" s="1596">
        <v>0.66666666666666663</v>
      </c>
      <c r="BF23" s="1596">
        <v>0.97916666666666663</v>
      </c>
      <c r="BG23" s="1442"/>
      <c r="BH23" s="1442"/>
      <c r="BI23" s="1442"/>
      <c r="BJ23" s="1442"/>
      <c r="BK23" s="1442"/>
      <c r="BL23" s="1442"/>
      <c r="BM23" s="1182" t="s">
        <v>157</v>
      </c>
      <c r="BN23" s="1117" t="s">
        <v>145</v>
      </c>
      <c r="BO23" s="1597">
        <v>0.6875</v>
      </c>
      <c r="BP23" s="1579">
        <v>0</v>
      </c>
      <c r="BQ23" s="1579">
        <v>0.6875</v>
      </c>
      <c r="BR23" s="1579">
        <v>0</v>
      </c>
      <c r="BS23" s="1602">
        <v>0.58333333333333337</v>
      </c>
      <c r="BT23" s="1602">
        <v>0.875</v>
      </c>
      <c r="BU23" s="1598">
        <v>0.66666666666666663</v>
      </c>
      <c r="BV23" s="1599">
        <v>0.97916666666666663</v>
      </c>
      <c r="BW23" s="1363"/>
      <c r="BX23" s="1245"/>
      <c r="BY23" s="1245"/>
      <c r="BZ23" s="1245"/>
      <c r="CA23" s="1245"/>
      <c r="CB23" s="1764"/>
      <c r="CC23" s="1776" t="s">
        <v>157</v>
      </c>
      <c r="CD23" s="1852" t="s">
        <v>145</v>
      </c>
      <c r="CE23" s="1735"/>
      <c r="CF23" s="1733"/>
      <c r="CG23" s="1232">
        <v>0.6875</v>
      </c>
      <c r="CH23" s="1232">
        <v>0</v>
      </c>
      <c r="CI23" s="1233">
        <v>0.58333333333333337</v>
      </c>
      <c r="CJ23" s="1356">
        <v>0.90972222222222221</v>
      </c>
      <c r="CK23" s="1449">
        <v>0.66666666666666663</v>
      </c>
      <c r="CL23" s="1522">
        <v>0.97916666666666663</v>
      </c>
      <c r="CM23" s="1713"/>
      <c r="CN23" s="1706"/>
      <c r="CQ23" s="1193">
        <v>0.64583333333333337</v>
      </c>
      <c r="CR23" s="1193">
        <v>0.96527777777777779</v>
      </c>
      <c r="CS23" s="1776" t="s">
        <v>157</v>
      </c>
      <c r="CT23" s="1999" t="s">
        <v>145</v>
      </c>
      <c r="CU23" s="1993"/>
      <c r="CV23" s="1961"/>
      <c r="CW23" s="1742"/>
      <c r="CX23" s="1733"/>
      <c r="CY23" s="1233">
        <v>0.58333333333333337</v>
      </c>
      <c r="CZ23" s="1356">
        <v>0.90972222222222221</v>
      </c>
      <c r="DA23" s="1449">
        <v>0.66666666666666663</v>
      </c>
      <c r="DB23" s="1356">
        <v>0.97916666666666663</v>
      </c>
      <c r="DC23" s="1446">
        <v>0.66666666666666663</v>
      </c>
      <c r="DD23" s="1233">
        <v>0.97916666666666663</v>
      </c>
      <c r="DE23" s="1338"/>
      <c r="DF23" s="1338"/>
      <c r="DG23" s="1245"/>
      <c r="DH23" s="1353"/>
    </row>
    <row r="24" spans="1:347" ht="15.75" x14ac:dyDescent="0.25">
      <c r="A24" s="967"/>
      <c r="B24" s="968"/>
      <c r="C24" s="1070"/>
      <c r="D24" s="1071"/>
      <c r="E24" s="1071"/>
      <c r="F24" s="1071"/>
      <c r="G24" s="1071"/>
      <c r="H24" s="1071"/>
      <c r="I24" s="1071"/>
      <c r="J24" s="1072"/>
      <c r="K24" s="1070"/>
      <c r="L24" s="1071"/>
      <c r="M24" s="1071"/>
      <c r="N24" s="1071"/>
      <c r="O24" s="1071"/>
      <c r="P24" s="1072"/>
      <c r="Q24" s="1776" t="s">
        <v>158</v>
      </c>
      <c r="R24" s="1999" t="s">
        <v>145</v>
      </c>
      <c r="S24" s="1993"/>
      <c r="T24" s="1961"/>
      <c r="U24" s="1742"/>
      <c r="V24" s="1733"/>
      <c r="W24" s="1193">
        <v>0.66666666666666663</v>
      </c>
      <c r="X24" s="1357">
        <v>0.97916666666666663</v>
      </c>
      <c r="Y24" s="1449">
        <v>0.64583333333333337</v>
      </c>
      <c r="Z24" s="1356">
        <v>0.96527777777777779</v>
      </c>
      <c r="AA24" s="2015"/>
      <c r="AB24" s="1245"/>
      <c r="AC24" s="1245"/>
      <c r="AD24" s="1245"/>
      <c r="AE24" s="1245"/>
      <c r="AF24" s="1353"/>
      <c r="AG24" s="1442"/>
      <c r="AH24" s="1442"/>
      <c r="AI24" s="1237"/>
      <c r="AJ24" s="1237"/>
      <c r="AK24" s="1237"/>
      <c r="AL24" s="1237"/>
      <c r="AM24" s="1237"/>
      <c r="AN24" s="1237"/>
      <c r="AO24" s="1237"/>
      <c r="AP24" s="1237"/>
      <c r="AQ24" s="1237"/>
      <c r="AR24" s="1237"/>
      <c r="AS24" s="1237"/>
      <c r="AT24" s="1237"/>
      <c r="AU24" s="1237"/>
      <c r="AV24" s="1237"/>
      <c r="AW24" s="1749" t="s">
        <v>158</v>
      </c>
      <c r="AX24" s="1750" t="s">
        <v>145</v>
      </c>
      <c r="AY24" s="1592"/>
      <c r="AZ24" s="1592"/>
      <c r="BA24" s="1751">
        <v>0.45833333333333331</v>
      </c>
      <c r="BB24" s="1752">
        <v>0.79166666666666663</v>
      </c>
      <c r="BC24" s="1753">
        <v>0.6875</v>
      </c>
      <c r="BD24" s="1753">
        <v>0</v>
      </c>
      <c r="BE24" s="1753">
        <v>0.625</v>
      </c>
      <c r="BF24" s="1753">
        <v>0.94444444444444442</v>
      </c>
      <c r="BG24" s="1754"/>
      <c r="BH24" s="1754"/>
      <c r="BI24" s="1754"/>
      <c r="BJ24" s="1754"/>
      <c r="BK24" s="1754"/>
      <c r="BL24" s="1754"/>
      <c r="BM24" s="1749" t="s">
        <v>158</v>
      </c>
      <c r="BN24" s="1750" t="s">
        <v>145</v>
      </c>
      <c r="BO24" s="1755">
        <v>0.6875</v>
      </c>
      <c r="BP24" s="1755">
        <v>0</v>
      </c>
      <c r="BQ24" s="1755">
        <v>0.6875</v>
      </c>
      <c r="BR24" s="1755">
        <v>0</v>
      </c>
      <c r="BS24" s="1389"/>
      <c r="BT24" s="1389"/>
      <c r="BU24" s="1641">
        <v>0.6875</v>
      </c>
      <c r="BV24" s="1641">
        <v>0</v>
      </c>
      <c r="BW24" s="1388"/>
      <c r="BX24" s="1389"/>
      <c r="BY24" s="1389"/>
      <c r="BZ24" s="1389"/>
      <c r="CA24" s="1389"/>
      <c r="CB24" s="1766"/>
      <c r="CC24" s="1776" t="s">
        <v>158</v>
      </c>
      <c r="CD24" s="1852" t="s">
        <v>145</v>
      </c>
      <c r="CE24" s="1735"/>
      <c r="CF24" s="1733"/>
      <c r="CG24" s="1232">
        <v>0.6875</v>
      </c>
      <c r="CH24" s="1232">
        <v>0</v>
      </c>
      <c r="CI24" s="1193">
        <v>0.66666666666666663</v>
      </c>
      <c r="CJ24" s="1357">
        <v>0.97916666666666663</v>
      </c>
      <c r="CK24" s="1449">
        <v>0.6875</v>
      </c>
      <c r="CL24" s="1522">
        <v>0</v>
      </c>
      <c r="CM24" s="1367">
        <v>0.64583333333333337</v>
      </c>
      <c r="CN24" s="1233">
        <v>0.96527777777777779</v>
      </c>
      <c r="CO24" s="1231"/>
      <c r="CP24" s="1231"/>
      <c r="CQ24" s="1706"/>
      <c r="CR24" s="1987"/>
      <c r="CS24" s="1776" t="s">
        <v>158</v>
      </c>
      <c r="CT24" s="1999" t="s">
        <v>145</v>
      </c>
      <c r="CU24" s="1993"/>
      <c r="CV24" s="1961"/>
      <c r="CW24" s="1742"/>
      <c r="CX24" s="1733"/>
      <c r="CY24" s="1193">
        <v>0.66666666666666663</v>
      </c>
      <c r="CZ24" s="1357">
        <v>0.97916666666666663</v>
      </c>
      <c r="DA24" s="1449">
        <v>0.64583333333333337</v>
      </c>
      <c r="DB24" s="1356">
        <v>0.96527777777777779</v>
      </c>
      <c r="DC24" s="2015"/>
      <c r="DD24" s="1245"/>
      <c r="DE24" s="1245"/>
      <c r="DF24" s="1245"/>
      <c r="DG24" s="1245"/>
      <c r="DH24" s="1353"/>
    </row>
    <row r="25" spans="1:347" s="1748" customFormat="1" ht="15.75" x14ac:dyDescent="0.25">
      <c r="A25" s="1745"/>
      <c r="B25" s="1746"/>
      <c r="C25" s="1747"/>
      <c r="D25" s="1747"/>
      <c r="E25" s="1747"/>
      <c r="F25" s="1747"/>
      <c r="G25" s="1747"/>
      <c r="H25" s="1747"/>
      <c r="I25" s="1747"/>
      <c r="J25" s="1747"/>
      <c r="K25" s="1747"/>
      <c r="L25" s="1747"/>
      <c r="M25" s="1747"/>
      <c r="N25" s="1747"/>
      <c r="O25" s="1747"/>
      <c r="P25" s="1747"/>
      <c r="Q25" s="1776" t="s">
        <v>278</v>
      </c>
      <c r="R25" s="1999" t="s">
        <v>145</v>
      </c>
      <c r="S25" s="1993"/>
      <c r="T25" s="1733"/>
      <c r="U25" s="1616"/>
      <c r="V25" s="1616"/>
      <c r="W25" s="1233">
        <v>0.64583333333333337</v>
      </c>
      <c r="X25" s="1356">
        <v>0.96527777777777779</v>
      </c>
      <c r="Y25" s="1449">
        <v>0.66666666666666663</v>
      </c>
      <c r="Z25" s="1356">
        <v>0.97916666666666663</v>
      </c>
      <c r="AA25" s="2015"/>
      <c r="AB25" s="1245"/>
      <c r="AC25" s="1233">
        <v>0.66666666666666663</v>
      </c>
      <c r="AD25" s="1233">
        <v>0.97916666666666663</v>
      </c>
      <c r="AE25" s="1233">
        <v>0.64583333333333337</v>
      </c>
      <c r="AF25" s="1355">
        <v>0.96527777777777779</v>
      </c>
      <c r="AG25" s="1442"/>
      <c r="AH25" s="1442"/>
      <c r="AI25" s="1237"/>
      <c r="AJ25" s="1237"/>
      <c r="AK25" s="1237"/>
      <c r="AL25" s="1237"/>
      <c r="AM25" s="1237"/>
      <c r="AN25" s="1237"/>
      <c r="AO25" s="1237"/>
      <c r="AP25" s="1237"/>
      <c r="AQ25" s="1237"/>
      <c r="AR25" s="1237"/>
      <c r="AS25" s="1237"/>
      <c r="AT25" s="1237"/>
      <c r="AU25" s="1237"/>
      <c r="AV25" s="1237"/>
      <c r="AW25" s="1442"/>
      <c r="AX25" s="1442"/>
      <c r="AY25" s="1442"/>
      <c r="AZ25" s="1442"/>
      <c r="BA25" s="1442"/>
      <c r="BB25" s="1442"/>
      <c r="BC25" s="1442"/>
      <c r="BD25" s="1442"/>
      <c r="BE25" s="1442"/>
      <c r="BF25" s="1442"/>
      <c r="BG25" s="1442"/>
      <c r="BH25" s="1442"/>
      <c r="BI25" s="1442"/>
      <c r="BJ25" s="1442"/>
      <c r="BK25" s="1442"/>
      <c r="BL25" s="1442"/>
      <c r="BM25" s="1442"/>
      <c r="BN25" s="1442"/>
      <c r="BO25" s="1442"/>
      <c r="BP25" s="1442"/>
      <c r="BQ25" s="1442"/>
      <c r="BR25" s="1442"/>
      <c r="BS25" s="1442"/>
      <c r="BT25" s="1442"/>
      <c r="BU25" s="1442"/>
      <c r="BV25" s="1442"/>
      <c r="BW25" s="1442"/>
      <c r="BX25" s="1442"/>
      <c r="BY25" s="1442"/>
      <c r="BZ25" s="1442"/>
      <c r="CA25" s="1245"/>
      <c r="CB25" s="1764"/>
      <c r="CC25" s="1776" t="s">
        <v>278</v>
      </c>
      <c r="CD25" s="1852" t="s">
        <v>145</v>
      </c>
      <c r="CE25" s="1735"/>
      <c r="CF25" s="1733"/>
      <c r="CG25" s="1760">
        <v>0.5</v>
      </c>
      <c r="CH25" s="1760">
        <v>0.83333333333333337</v>
      </c>
      <c r="CI25" s="1233">
        <v>0.64583333333333337</v>
      </c>
      <c r="CJ25" s="1356">
        <v>0.96527777777777779</v>
      </c>
      <c r="CK25" s="1449">
        <v>0.64583333333333337</v>
      </c>
      <c r="CL25" s="1522">
        <v>0.96527777777777779</v>
      </c>
      <c r="CM25" s="1367">
        <v>0.64583333333333337</v>
      </c>
      <c r="CN25" s="1233">
        <v>0.96527777777777779</v>
      </c>
      <c r="CO25" s="1231"/>
      <c r="CP25" s="1231"/>
      <c r="CQ25" s="1706"/>
      <c r="CR25" s="1987"/>
      <c r="CS25" s="1776" t="s">
        <v>278</v>
      </c>
      <c r="CT25" s="1999" t="s">
        <v>145</v>
      </c>
      <c r="CU25" s="1993"/>
      <c r="CV25" s="1733"/>
      <c r="CW25" s="1616"/>
      <c r="CX25" s="1616"/>
      <c r="CY25" s="1233">
        <v>0.64583333333333337</v>
      </c>
      <c r="CZ25" s="1356">
        <v>0.96527777777777779</v>
      </c>
      <c r="DA25" s="1449">
        <v>0.66666666666666663</v>
      </c>
      <c r="DB25" s="1356">
        <v>0.97916666666666663</v>
      </c>
      <c r="DC25" s="2015"/>
      <c r="DD25" s="1245"/>
      <c r="DE25" s="1233">
        <v>0.66666666666666663</v>
      </c>
      <c r="DF25" s="1233">
        <v>0.97916666666666663</v>
      </c>
      <c r="DG25" s="1233">
        <v>0.64583333333333337</v>
      </c>
      <c r="DH25" s="1355">
        <v>0.96527777777777779</v>
      </c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</row>
    <row r="26" spans="1:347" s="1748" customFormat="1" ht="16.5" thickBot="1" x14ac:dyDescent="0.3">
      <c r="A26" s="1745"/>
      <c r="B26" s="1746"/>
      <c r="C26" s="1747"/>
      <c r="D26" s="1747"/>
      <c r="E26" s="1747"/>
      <c r="F26" s="1747"/>
      <c r="G26" s="1747"/>
      <c r="H26" s="1747"/>
      <c r="I26" s="1747"/>
      <c r="J26" s="1747"/>
      <c r="K26" s="1747"/>
      <c r="L26" s="1747"/>
      <c r="M26" s="1747"/>
      <c r="N26" s="1747"/>
      <c r="O26" s="1747"/>
      <c r="P26" s="1747"/>
      <c r="Q26" s="2002" t="s">
        <v>279</v>
      </c>
      <c r="R26" s="2003" t="s">
        <v>145</v>
      </c>
      <c r="S26" s="2006"/>
      <c r="T26" s="1737"/>
      <c r="U26" s="1579">
        <v>0.54166666666666663</v>
      </c>
      <c r="V26" s="1579">
        <v>0.875</v>
      </c>
      <c r="W26" s="1389"/>
      <c r="X26" s="1766"/>
      <c r="Y26" s="1607">
        <v>0.64583333333333337</v>
      </c>
      <c r="Z26" s="1608">
        <v>0.96527777777777779</v>
      </c>
      <c r="AA26" s="2024"/>
      <c r="AB26" s="1978"/>
      <c r="AC26" s="2025">
        <v>0.54166666666666663</v>
      </c>
      <c r="AD26" s="2025">
        <v>0.875</v>
      </c>
      <c r="AE26" s="2025">
        <v>0.6875</v>
      </c>
      <c r="AF26" s="1979">
        <v>0</v>
      </c>
      <c r="AG26" s="1754"/>
      <c r="AH26" s="1754"/>
      <c r="AI26" s="1754"/>
      <c r="AJ26" s="1754"/>
      <c r="AK26" s="1754"/>
      <c r="AL26" s="1754"/>
      <c r="AM26" s="1754"/>
      <c r="AN26" s="1754"/>
      <c r="AO26" s="1754"/>
      <c r="AP26" s="1754"/>
      <c r="AQ26" s="1754"/>
      <c r="AR26" s="1754"/>
      <c r="AS26" s="1754"/>
      <c r="AT26" s="1754"/>
      <c r="AU26" s="1754"/>
      <c r="AV26" s="1754"/>
      <c r="AW26" s="1442"/>
      <c r="AX26" s="1442"/>
      <c r="AY26" s="1442"/>
      <c r="AZ26" s="1442"/>
      <c r="BA26" s="1442"/>
      <c r="BB26" s="1442"/>
      <c r="BC26" s="1442"/>
      <c r="BD26" s="1442"/>
      <c r="BE26" s="1442"/>
      <c r="BF26" s="1442"/>
      <c r="BG26" s="1442"/>
      <c r="BH26" s="1442"/>
      <c r="BI26" s="1442"/>
      <c r="BJ26" s="1442"/>
      <c r="BK26" s="1442"/>
      <c r="BL26" s="1442"/>
      <c r="BM26" s="1442"/>
      <c r="BN26" s="1442"/>
      <c r="BO26" s="1442"/>
      <c r="BP26" s="1442"/>
      <c r="BQ26" s="1442"/>
      <c r="BR26" s="1442"/>
      <c r="BS26" s="1442"/>
      <c r="BT26" s="1442"/>
      <c r="BU26" s="1442"/>
      <c r="BV26" s="1442"/>
      <c r="BW26" s="1442"/>
      <c r="BX26" s="1442"/>
      <c r="BY26" s="1442"/>
      <c r="BZ26" s="1442"/>
      <c r="CA26" s="1245"/>
      <c r="CB26" s="1764"/>
      <c r="CC26" s="1776" t="s">
        <v>279</v>
      </c>
      <c r="CD26" s="1852" t="s">
        <v>145</v>
      </c>
      <c r="CE26" s="1856"/>
      <c r="CF26" s="1857"/>
      <c r="CG26" s="1858">
        <v>0.58333333333333337</v>
      </c>
      <c r="CH26" s="1858">
        <v>0.90972222222222221</v>
      </c>
      <c r="CI26" s="1333">
        <v>0.64583333333333337</v>
      </c>
      <c r="CJ26" s="1850">
        <v>0.96527777777777779</v>
      </c>
      <c r="CK26" s="1874">
        <v>0.64583333333333337</v>
      </c>
      <c r="CL26" s="1741">
        <v>0.96527777777777779</v>
      </c>
      <c r="CM26" s="1399">
        <v>0.64583333333333337</v>
      </c>
      <c r="CN26" s="1333">
        <v>0.96527777777777779</v>
      </c>
      <c r="CO26" s="1844"/>
      <c r="CP26" s="1844"/>
      <c r="CQ26" s="1715"/>
      <c r="CR26" s="1988"/>
      <c r="CS26" s="2002" t="s">
        <v>279</v>
      </c>
      <c r="CT26" s="2003" t="s">
        <v>145</v>
      </c>
      <c r="CU26" s="2006"/>
      <c r="CV26" s="1737"/>
      <c r="CW26" s="1579">
        <v>0.54166666666666663</v>
      </c>
      <c r="CX26" s="1579">
        <v>0.875</v>
      </c>
      <c r="CY26" s="1389"/>
      <c r="CZ26" s="1766"/>
      <c r="DA26" s="1607">
        <v>0.64583333333333337</v>
      </c>
      <c r="DB26" s="1608">
        <v>0.96527777777777779</v>
      </c>
      <c r="DC26" s="2024"/>
      <c r="DD26" s="1978"/>
      <c r="DE26" s="2025">
        <v>0.54166666666666663</v>
      </c>
      <c r="DF26" s="2025">
        <v>0.875</v>
      </c>
      <c r="DG26" s="2025">
        <v>0.6875</v>
      </c>
      <c r="DH26" s="1979">
        <v>0</v>
      </c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</row>
    <row r="27" spans="1:347" ht="16.5" thickBot="1" x14ac:dyDescent="0.3">
      <c r="A27" s="967"/>
      <c r="B27" s="968"/>
      <c r="C27" s="1070"/>
      <c r="D27" s="1071"/>
      <c r="E27" s="1071"/>
      <c r="F27" s="1071"/>
      <c r="G27" s="1071"/>
      <c r="H27" s="1071"/>
      <c r="I27" s="1071"/>
      <c r="J27" s="1072"/>
      <c r="K27" s="1070"/>
      <c r="L27" s="1071"/>
      <c r="M27" s="1071"/>
      <c r="N27" s="1071"/>
      <c r="O27" s="1071"/>
      <c r="P27" s="1072"/>
      <c r="Q27" s="2004" t="s">
        <v>159</v>
      </c>
      <c r="R27" s="2005" t="s">
        <v>145</v>
      </c>
      <c r="S27" s="1343">
        <v>0.45833333333333331</v>
      </c>
      <c r="T27" s="1235">
        <v>0.70833333333333337</v>
      </c>
      <c r="U27" s="1235">
        <v>0.45833333333333331</v>
      </c>
      <c r="V27" s="1235">
        <v>0.70833333333333337</v>
      </c>
      <c r="W27" s="2007"/>
      <c r="X27" s="2008"/>
      <c r="Y27" s="2009"/>
      <c r="Z27" s="2008"/>
      <c r="AA27" s="2016">
        <v>0.45833333333333331</v>
      </c>
      <c r="AB27" s="1613">
        <v>0.70833333333333337</v>
      </c>
      <c r="AC27" s="2044">
        <v>0.45833333333333331</v>
      </c>
      <c r="AD27" s="2044">
        <v>0.70833333333333337</v>
      </c>
      <c r="AE27" s="1838"/>
      <c r="AF27" s="2000"/>
      <c r="AG27" s="1132" t="s">
        <v>159</v>
      </c>
      <c r="AH27" s="1126" t="s">
        <v>145</v>
      </c>
      <c r="AI27" s="2037">
        <v>0.45833333333333331</v>
      </c>
      <c r="AJ27" s="1027">
        <v>0.70833333333333337</v>
      </c>
      <c r="AK27" s="1027">
        <v>0.45833333333333331</v>
      </c>
      <c r="AL27" s="1027">
        <v>0.70833333333333337</v>
      </c>
      <c r="AM27" s="2038"/>
      <c r="AN27" s="2038"/>
      <c r="AO27" s="2038"/>
      <c r="AP27" s="2039"/>
      <c r="AQ27" s="2040">
        <v>0.45833333333333331</v>
      </c>
      <c r="AR27" s="1027">
        <v>0.70833333333333337</v>
      </c>
      <c r="AS27" s="2038"/>
      <c r="AT27" s="2038"/>
      <c r="AU27" s="2041"/>
      <c r="AV27" s="2042"/>
      <c r="AW27" s="1757" t="s">
        <v>159</v>
      </c>
      <c r="AX27" s="1758" t="s">
        <v>145</v>
      </c>
      <c r="AY27" s="1006">
        <v>0.45833333333333331</v>
      </c>
      <c r="AZ27" s="956">
        <v>0.70833333333333337</v>
      </c>
      <c r="BA27" s="956">
        <v>0.45833333333333331</v>
      </c>
      <c r="BB27" s="956">
        <v>0.70833333333333337</v>
      </c>
      <c r="BC27" s="964"/>
      <c r="BD27" s="964"/>
      <c r="BE27" s="964"/>
      <c r="BF27" s="965"/>
      <c r="BG27" s="1759"/>
      <c r="BH27" s="1759"/>
      <c r="BI27" s="964"/>
      <c r="BJ27" s="964"/>
      <c r="BK27" s="1440">
        <v>0.45833333333333331</v>
      </c>
      <c r="BL27" s="956">
        <v>0.70833333333333337</v>
      </c>
      <c r="BM27" s="1756" t="s">
        <v>159</v>
      </c>
      <c r="BN27" s="1286" t="s">
        <v>145</v>
      </c>
      <c r="BO27" s="1006">
        <v>0.45833333333333331</v>
      </c>
      <c r="BP27" s="956">
        <v>0.70833333333333337</v>
      </c>
      <c r="BQ27" s="956">
        <v>0.45833333333333331</v>
      </c>
      <c r="BR27" s="956">
        <v>0.70833333333333337</v>
      </c>
      <c r="BS27" s="964"/>
      <c r="BT27" s="964"/>
      <c r="BU27" s="964"/>
      <c r="BV27" s="964"/>
      <c r="BW27" s="956">
        <v>0.45833333333333331</v>
      </c>
      <c r="BX27" s="956">
        <v>0.70833333333333337</v>
      </c>
      <c r="BY27" s="964"/>
      <c r="BZ27" s="964"/>
      <c r="CA27" s="1105"/>
      <c r="CB27" s="1767"/>
      <c r="CC27" s="1777" t="s">
        <v>159</v>
      </c>
      <c r="CD27" s="1859" t="s">
        <v>145</v>
      </c>
      <c r="CE27" s="1863">
        <v>0.45833333333333331</v>
      </c>
      <c r="CF27" s="1613">
        <v>0.70833333333333337</v>
      </c>
      <c r="CG27" s="1613">
        <v>0.45833333333333331</v>
      </c>
      <c r="CH27" s="1613">
        <v>0.70833333333333337</v>
      </c>
      <c r="CI27" s="1759"/>
      <c r="CJ27" s="1870"/>
      <c r="CK27" s="1875"/>
      <c r="CL27" s="1864"/>
      <c r="CM27" s="1861">
        <v>0.45833333333333331</v>
      </c>
      <c r="CN27" s="1613">
        <v>0.70833333333333337</v>
      </c>
      <c r="CO27" s="1759"/>
      <c r="CP27" s="1759"/>
      <c r="CQ27" s="1838"/>
      <c r="CR27" s="2000"/>
      <c r="CS27" s="2004" t="s">
        <v>159</v>
      </c>
      <c r="CT27" s="2005" t="s">
        <v>145</v>
      </c>
      <c r="CU27" s="1343">
        <v>0.45833333333333331</v>
      </c>
      <c r="CV27" s="1235">
        <v>0.70833333333333337</v>
      </c>
      <c r="CW27" s="1235">
        <v>0.45833333333333331</v>
      </c>
      <c r="CX27" s="1235">
        <v>0.70833333333333337</v>
      </c>
      <c r="CY27" s="2007"/>
      <c r="CZ27" s="2008"/>
      <c r="DA27" s="2009"/>
      <c r="DB27" s="2008"/>
      <c r="DC27" s="2016">
        <v>0.45833333333333331</v>
      </c>
      <c r="DD27" s="1613">
        <v>0.70833333333333337</v>
      </c>
      <c r="DE27" s="1759"/>
      <c r="DF27" s="1759"/>
      <c r="DG27" s="1838"/>
      <c r="DH27" s="1839"/>
    </row>
    <row r="28" spans="1:347" ht="16.5" thickBot="1" x14ac:dyDescent="0.3">
      <c r="A28" s="969" t="s">
        <v>159</v>
      </c>
      <c r="B28" s="970" t="s">
        <v>145</v>
      </c>
      <c r="C28" s="1073">
        <v>0.45833333333333331</v>
      </c>
      <c r="D28" s="1074">
        <v>0.70833333333333337</v>
      </c>
      <c r="E28" s="1074">
        <v>0.45833333333333331</v>
      </c>
      <c r="F28" s="1074">
        <v>0.70833333333333337</v>
      </c>
      <c r="G28" s="1075"/>
      <c r="H28" s="1075"/>
      <c r="I28" s="1075"/>
      <c r="J28" s="1076"/>
      <c r="K28" s="1077">
        <v>0.45833333333333331</v>
      </c>
      <c r="L28" s="1074">
        <v>0.70833333333333337</v>
      </c>
      <c r="M28" s="1078"/>
      <c r="N28" s="1078"/>
      <c r="O28" s="1079"/>
      <c r="P28" s="1080"/>
      <c r="Q28" s="1778" t="s">
        <v>160</v>
      </c>
      <c r="R28" s="1860" t="s">
        <v>145</v>
      </c>
      <c r="S28" s="2026"/>
      <c r="T28" s="2027"/>
      <c r="U28" s="1779">
        <v>0.54166666666666663</v>
      </c>
      <c r="V28" s="1779">
        <v>0.79166666666666663</v>
      </c>
      <c r="W28" s="1780"/>
      <c r="X28" s="2010"/>
      <c r="Y28" s="2011"/>
      <c r="Z28" s="2014"/>
      <c r="AA28" s="2017"/>
      <c r="AB28" s="1780"/>
      <c r="AC28" s="1780"/>
      <c r="AD28" s="1780"/>
      <c r="AE28" s="1779">
        <v>0.54166666666666663</v>
      </c>
      <c r="AF28" s="2001">
        <v>0.79166666666666663</v>
      </c>
      <c r="AG28" s="1133" t="s">
        <v>160</v>
      </c>
      <c r="AH28" s="1127" t="s">
        <v>145</v>
      </c>
      <c r="AI28" s="1289">
        <v>0.54166666666666663</v>
      </c>
      <c r="AJ28" s="1289">
        <v>0.79166666666666663</v>
      </c>
      <c r="AK28" s="1289">
        <v>0.54166666666666663</v>
      </c>
      <c r="AL28" s="1289">
        <v>0.79166666666666663</v>
      </c>
      <c r="AM28" s="1290"/>
      <c r="AN28" s="1290"/>
      <c r="AO28" s="1291"/>
      <c r="AP28" s="1387"/>
      <c r="AQ28" s="2043"/>
      <c r="AR28" s="1290"/>
      <c r="AS28" s="1289">
        <v>0.54166666666666663</v>
      </c>
      <c r="AT28" s="1289">
        <v>0.79166666666666663</v>
      </c>
      <c r="AU28" s="1289">
        <v>0.54166666666666663</v>
      </c>
      <c r="AV28" s="1292">
        <v>0.79166666666666663</v>
      </c>
      <c r="AW28" s="1133" t="s">
        <v>160</v>
      </c>
      <c r="AX28" s="1127" t="s">
        <v>145</v>
      </c>
      <c r="AY28" s="1287"/>
      <c r="AZ28" s="1288"/>
      <c r="BA28" s="1289">
        <v>0.54166666666666663</v>
      </c>
      <c r="BB28" s="1289">
        <v>0.79166666666666663</v>
      </c>
      <c r="BC28" s="1290"/>
      <c r="BD28" s="1290"/>
      <c r="BE28" s="1291"/>
      <c r="BF28" s="1387"/>
      <c r="BG28" s="1383"/>
      <c r="BH28" s="1384"/>
      <c r="BI28" s="1384"/>
      <c r="BJ28" s="1384"/>
      <c r="BK28" s="1385">
        <v>0.54166666666666663</v>
      </c>
      <c r="BL28" s="1386">
        <v>0.79166666666666663</v>
      </c>
      <c r="BM28" s="1191" t="s">
        <v>160</v>
      </c>
      <c r="BN28" s="1103" t="s">
        <v>145</v>
      </c>
      <c r="BO28" s="1385">
        <v>0.54166666666666663</v>
      </c>
      <c r="BP28" s="1385">
        <v>0.79166666666666663</v>
      </c>
      <c r="BQ28" s="1289">
        <v>0.54166666666666663</v>
      </c>
      <c r="BR28" s="1289">
        <v>0.79166666666666663</v>
      </c>
      <c r="BS28" s="1290"/>
      <c r="BT28" s="1290"/>
      <c r="BU28" s="1291"/>
      <c r="BV28" s="1291"/>
      <c r="BW28" s="1290"/>
      <c r="BX28" s="1290"/>
      <c r="BY28" s="1289">
        <v>0.54166666666666663</v>
      </c>
      <c r="BZ28" s="1289">
        <v>0.79166666666666663</v>
      </c>
      <c r="CA28" s="1289">
        <v>0.54166666666666663</v>
      </c>
      <c r="CB28" s="1768">
        <v>0.79166666666666663</v>
      </c>
      <c r="CC28" s="1778" t="s">
        <v>160</v>
      </c>
      <c r="CD28" s="1860" t="s">
        <v>145</v>
      </c>
      <c r="CE28" s="1865">
        <v>0.54166666666666663</v>
      </c>
      <c r="CF28" s="1866">
        <v>0.79166666666666663</v>
      </c>
      <c r="CG28" s="1866">
        <v>0.54166666666666663</v>
      </c>
      <c r="CH28" s="1866">
        <v>0.79166666666666663</v>
      </c>
      <c r="CI28" s="1867"/>
      <c r="CJ28" s="1871"/>
      <c r="CK28" s="1876"/>
      <c r="CL28" s="1868"/>
      <c r="CM28" s="1862"/>
      <c r="CN28" s="1780"/>
      <c r="CO28" s="1779">
        <v>0.54166666666666663</v>
      </c>
      <c r="CP28" s="1779">
        <v>0.79166666666666663</v>
      </c>
      <c r="CQ28" s="1779">
        <v>0.54166666666666663</v>
      </c>
      <c r="CR28" s="2001">
        <v>0.79166666666666663</v>
      </c>
      <c r="CS28" s="1778" t="s">
        <v>160</v>
      </c>
      <c r="CT28" s="1860" t="s">
        <v>145</v>
      </c>
      <c r="CU28" s="2026"/>
      <c r="CV28" s="2027"/>
      <c r="CW28" s="1779">
        <v>0.54166666666666663</v>
      </c>
      <c r="CX28" s="1779">
        <v>0.79166666666666663</v>
      </c>
      <c r="CY28" s="1780"/>
      <c r="CZ28" s="2010"/>
      <c r="DA28" s="2011"/>
      <c r="DB28" s="2014"/>
      <c r="DC28" s="2017"/>
      <c r="DD28" s="1780"/>
      <c r="DE28" s="1779">
        <v>0.54166666666666663</v>
      </c>
      <c r="DF28" s="1779">
        <v>0.79166666666666663</v>
      </c>
      <c r="DG28" s="1779">
        <v>0.54166666666666663</v>
      </c>
      <c r="DH28" s="1781">
        <v>0.79166666666666663</v>
      </c>
    </row>
    <row r="29" spans="1:347" s="927" customFormat="1" x14ac:dyDescent="0.25">
      <c r="A29" s="935"/>
      <c r="B29" s="934"/>
      <c r="C29" s="935"/>
      <c r="D29" s="935"/>
      <c r="E29" s="971"/>
      <c r="F29" s="971"/>
      <c r="G29" s="971"/>
      <c r="H29" s="971"/>
      <c r="I29" s="971"/>
      <c r="J29" s="971"/>
      <c r="K29" s="935"/>
      <c r="L29" s="935"/>
      <c r="M29" s="935"/>
      <c r="N29" s="935"/>
      <c r="O29" s="935"/>
      <c r="P29" s="935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 s="935"/>
      <c r="AH29" s="934"/>
      <c r="AI29" s="935"/>
      <c r="AJ29" s="935"/>
      <c r="AK29" s="971"/>
      <c r="AL29" s="971"/>
      <c r="AM29" s="940"/>
      <c r="AN29" s="940"/>
      <c r="AO29" s="971"/>
      <c r="AP29" s="971"/>
      <c r="AQ29" s="935"/>
      <c r="AR29" s="935"/>
      <c r="AS29" s="935"/>
      <c r="AT29" s="935"/>
      <c r="AU29" s="935"/>
      <c r="AV29" s="935"/>
      <c r="AW29" s="971"/>
      <c r="AX29" s="934"/>
      <c r="AY29" s="971"/>
      <c r="AZ29" s="971"/>
      <c r="BA29" s="971"/>
      <c r="BB29" s="971"/>
      <c r="BC29" s="971"/>
      <c r="BD29" s="971"/>
      <c r="BE29" s="1081"/>
      <c r="BF29" s="1081"/>
      <c r="BG29" s="971"/>
      <c r="BH29" s="971"/>
      <c r="BI29" s="935"/>
      <c r="BJ29" s="935"/>
      <c r="BK29" s="935"/>
      <c r="BL29" s="934"/>
      <c r="BM29" s="935"/>
      <c r="BN29" s="934"/>
      <c r="BO29" s="1082"/>
      <c r="BP29" s="937"/>
      <c r="BQ29" s="971"/>
      <c r="BR29" s="971"/>
      <c r="BS29" s="971"/>
      <c r="BT29" s="971"/>
      <c r="BU29" s="971"/>
      <c r="BV29" s="971"/>
      <c r="BW29" s="1082"/>
      <c r="BX29" s="1082"/>
      <c r="BY29" s="935"/>
      <c r="BZ29" s="935"/>
      <c r="CA29" s="935"/>
      <c r="CB29" s="935"/>
      <c r="CC29" s="935"/>
      <c r="CD29" s="934"/>
      <c r="CE29" s="935"/>
      <c r="CF29" s="935"/>
      <c r="CG29" s="971"/>
      <c r="CH29" s="971"/>
      <c r="CI29" s="971"/>
      <c r="CJ29" s="971"/>
      <c r="CK29" s="971"/>
      <c r="CL29" s="971"/>
      <c r="CM29" s="935"/>
      <c r="CN29" s="935"/>
      <c r="CO29" s="935"/>
      <c r="CP29" s="935"/>
      <c r="CQ29" s="935"/>
      <c r="CR29" s="935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</row>
    <row r="30" spans="1:347" s="927" customFormat="1" x14ac:dyDescent="0.25">
      <c r="A30" s="939"/>
      <c r="B30" s="934"/>
      <c r="C30" s="935"/>
      <c r="D30" s="935"/>
      <c r="E30" s="971"/>
      <c r="F30" s="971"/>
      <c r="G30" s="971"/>
      <c r="H30" s="971"/>
      <c r="I30" s="971"/>
      <c r="J30" s="971"/>
      <c r="K30" s="935"/>
      <c r="L30" s="935"/>
      <c r="M30" s="935"/>
      <c r="N30" s="935"/>
      <c r="O30" s="935"/>
      <c r="P30" s="935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 s="971"/>
      <c r="AH30" s="934"/>
      <c r="AI30" s="971"/>
      <c r="AJ30" s="971"/>
      <c r="AK30" s="971"/>
      <c r="AL30" s="971"/>
      <c r="AM30" s="940"/>
      <c r="AN30" s="940"/>
      <c r="AO30" s="971"/>
      <c r="AP30" s="971"/>
      <c r="AQ30" s="971"/>
      <c r="AR30" s="971"/>
      <c r="AS30" s="940"/>
      <c r="AT30" s="940"/>
      <c r="AU30" s="940"/>
      <c r="AV30" s="940"/>
      <c r="AW30" s="971"/>
      <c r="AX30" s="934"/>
      <c r="AY30" s="971"/>
      <c r="AZ30" s="971"/>
      <c r="BA30" s="971"/>
      <c r="BB30" s="971"/>
      <c r="BC30" s="971"/>
      <c r="BD30" s="971"/>
      <c r="BE30" s="1081"/>
      <c r="BF30" s="1081"/>
      <c r="BG30" s="971"/>
      <c r="BH30" s="971"/>
      <c r="BI30" s="935"/>
      <c r="BJ30" s="935"/>
      <c r="BK30" s="935"/>
      <c r="BL30" s="934"/>
      <c r="BM30" s="971"/>
      <c r="BN30" s="934"/>
      <c r="BO30" s="937"/>
      <c r="BP30" s="937"/>
      <c r="BQ30" s="937"/>
      <c r="BR30" s="937"/>
      <c r="BS30" s="971"/>
      <c r="BT30" s="971"/>
      <c r="BU30" s="971"/>
      <c r="BV30" s="971"/>
      <c r="BW30" s="935"/>
      <c r="BX30" s="935"/>
      <c r="BY30" s="935"/>
      <c r="BZ30" s="935"/>
      <c r="CA30" s="939"/>
      <c r="CB30" s="939"/>
      <c r="CC30" s="939"/>
      <c r="CD30" s="971"/>
      <c r="CE30" s="971"/>
      <c r="CF30" s="971"/>
      <c r="CG30" s="971"/>
      <c r="CH30" s="971"/>
      <c r="CI30" s="971"/>
      <c r="CJ30" s="971"/>
      <c r="CK30" s="971"/>
      <c r="CL30" s="971"/>
      <c r="CM30" s="935"/>
      <c r="CN30" s="935"/>
      <c r="CO30" s="935"/>
      <c r="CP30" s="935"/>
      <c r="CQ30" s="935"/>
      <c r="CR30" s="935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</row>
    <row r="31" spans="1:347" s="927" customFormat="1" ht="15.75" x14ac:dyDescent="0.25">
      <c r="A31" s="939"/>
      <c r="B31" s="972"/>
      <c r="C31" s="1083"/>
      <c r="D31" s="1083"/>
      <c r="E31" s="1084"/>
      <c r="F31" s="1084" t="s">
        <v>161</v>
      </c>
      <c r="G31" s="1084"/>
      <c r="H31" s="1084"/>
      <c r="I31" s="1084"/>
      <c r="J31" s="1084"/>
      <c r="K31" s="935"/>
      <c r="L31" s="935"/>
      <c r="M31" s="935"/>
      <c r="N31" s="935"/>
      <c r="O31" s="935"/>
      <c r="P31" s="935"/>
      <c r="Q31"/>
      <c r="R31"/>
      <c r="S31"/>
      <c r="T31" s="946" t="s">
        <v>90</v>
      </c>
      <c r="U31" s="946" t="s">
        <v>90</v>
      </c>
      <c r="V31" s="946" t="s">
        <v>91</v>
      </c>
      <c r="W31" s="946" t="s">
        <v>91</v>
      </c>
      <c r="X31" s="946" t="s">
        <v>92</v>
      </c>
      <c r="Y31" s="946" t="s">
        <v>92</v>
      </c>
      <c r="Z31" s="946" t="s">
        <v>93</v>
      </c>
      <c r="AA31" s="946" t="s">
        <v>93</v>
      </c>
      <c r="AB31" s="946" t="s">
        <v>94</v>
      </c>
      <c r="AC31" s="946" t="s">
        <v>94</v>
      </c>
      <c r="AD31" s="946" t="s">
        <v>95</v>
      </c>
      <c r="AE31" s="946" t="s">
        <v>95</v>
      </c>
      <c r="AF31"/>
      <c r="AG31" s="936"/>
      <c r="AH31" s="934"/>
      <c r="AI31" s="936"/>
      <c r="AJ31"/>
      <c r="AK31"/>
      <c r="AL31"/>
      <c r="AM31"/>
      <c r="AN31"/>
      <c r="AO31"/>
      <c r="AP31"/>
      <c r="AQ31" s="971"/>
      <c r="AR31" s="971"/>
      <c r="AS31" s="940"/>
      <c r="AT31" s="940"/>
      <c r="AU31" s="940"/>
      <c r="AV31" s="940"/>
      <c r="AW31" s="971"/>
      <c r="AX31" s="934"/>
      <c r="AY31" s="971"/>
      <c r="AZ31" s="1081"/>
      <c r="BA31" s="1081"/>
      <c r="BB31" s="1081"/>
      <c r="BC31" s="1081"/>
      <c r="BD31" s="1081"/>
      <c r="BE31" s="1081"/>
      <c r="BF31" s="1085"/>
      <c r="BG31" s="971"/>
      <c r="BH31" s="971"/>
      <c r="BI31" s="940"/>
      <c r="BJ31" s="940"/>
      <c r="BK31" s="940"/>
      <c r="BL31" s="934"/>
      <c r="BM31" s="937"/>
      <c r="BN31" s="937"/>
      <c r="BO31" s="937"/>
      <c r="BP31" s="937"/>
      <c r="BQ31" s="937"/>
      <c r="BR31" s="937"/>
      <c r="BS31" s="937"/>
      <c r="BT31" s="937"/>
      <c r="BU31" s="937"/>
      <c r="BV31" s="937"/>
      <c r="BW31" s="937"/>
      <c r="BX31" s="937"/>
      <c r="BY31" s="937"/>
      <c r="BZ31" s="937"/>
      <c r="CA31" s="939"/>
      <c r="CB31" s="939"/>
      <c r="CC31" s="1299"/>
      <c r="CD31" s="972"/>
      <c r="CE31" s="1083"/>
      <c r="CF31" s="1083"/>
      <c r="CG31" s="1084" t="s">
        <v>163</v>
      </c>
      <c r="CH31" s="1084"/>
      <c r="CI31" s="1084"/>
      <c r="CJ31" s="1084"/>
      <c r="CK31" s="1084"/>
      <c r="CL31" s="1084"/>
      <c r="CM31" s="935"/>
      <c r="CN31" s="935"/>
      <c r="CO31" s="935"/>
      <c r="CP31" s="935"/>
      <c r="CQ31" s="935"/>
      <c r="CR31" s="935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</row>
    <row r="32" spans="1:347" s="927" customFormat="1" x14ac:dyDescent="0.25">
      <c r="A32" s="971"/>
      <c r="B32" s="934"/>
      <c r="C32" s="971"/>
      <c r="D32" s="971"/>
      <c r="E32" s="971"/>
      <c r="F32" s="971"/>
      <c r="G32" s="940"/>
      <c r="H32" s="940"/>
      <c r="I32" s="971"/>
      <c r="J32" s="971"/>
      <c r="K32" s="971"/>
      <c r="L32" s="971"/>
      <c r="M32" s="940"/>
      <c r="N32" s="940"/>
      <c r="O32" s="940"/>
      <c r="P32" s="940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 s="935"/>
      <c r="AH32" s="934"/>
      <c r="AI32" s="935"/>
      <c r="AJ32" s="936"/>
      <c r="AK32"/>
      <c r="AL32"/>
      <c r="AM32"/>
      <c r="AN32"/>
      <c r="AO32"/>
      <c r="AP32"/>
      <c r="AQ32" s="935"/>
      <c r="AR32" s="1082"/>
      <c r="AS32" s="935"/>
      <c r="AT32" s="935"/>
      <c r="AU32" s="935"/>
      <c r="AV32" s="935"/>
      <c r="AW32" s="973" t="s">
        <v>57</v>
      </c>
      <c r="AX32" s="934"/>
      <c r="AY32" s="936"/>
      <c r="AZ32" s="936"/>
      <c r="BA32" s="936"/>
      <c r="BB32" s="936"/>
      <c r="BC32" s="1081"/>
      <c r="BD32" s="1081"/>
      <c r="BE32" s="936"/>
      <c r="BF32" s="936"/>
      <c r="BG32" s="936"/>
      <c r="BH32" s="936"/>
      <c r="BI32" s="937"/>
      <c r="BJ32" s="937"/>
      <c r="BK32" s="937"/>
      <c r="BL32" s="934"/>
      <c r="BM32" s="971"/>
      <c r="BN32" s="934"/>
      <c r="BO32" s="937"/>
      <c r="BP32" s="937"/>
      <c r="BQ32" s="937"/>
      <c r="BR32" s="937"/>
      <c r="BS32" s="971"/>
      <c r="BT32" s="971"/>
      <c r="BU32" s="971"/>
      <c r="BV32" s="971"/>
      <c r="BW32" s="971"/>
      <c r="BX32" s="971"/>
      <c r="BY32" s="971"/>
      <c r="BZ32" s="971"/>
      <c r="CA32" s="971"/>
      <c r="CB32" s="971"/>
      <c r="CC32" s="971"/>
      <c r="CD32" s="934"/>
      <c r="CE32" s="971"/>
      <c r="CF32" s="971"/>
      <c r="CG32" s="971"/>
      <c r="CH32" s="971"/>
      <c r="CI32" s="940"/>
      <c r="CJ32" s="940"/>
      <c r="CK32" s="971"/>
      <c r="CL32" s="971"/>
      <c r="CM32" s="971"/>
      <c r="CN32" s="971"/>
      <c r="CO32" s="940"/>
      <c r="CP32" s="940"/>
      <c r="CQ32" s="940"/>
      <c r="CR32" s="940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</row>
    <row r="33" spans="1:347" s="927" customFormat="1" x14ac:dyDescent="0.25">
      <c r="A33" s="973" t="s">
        <v>57</v>
      </c>
      <c r="B33" s="934"/>
      <c r="C33" s="936"/>
      <c r="D33" s="936"/>
      <c r="E33" s="937"/>
      <c r="F33" s="937"/>
      <c r="G33" s="936"/>
      <c r="H33" s="936"/>
      <c r="I33" s="936"/>
      <c r="J33" s="936"/>
      <c r="K33" s="936"/>
      <c r="L33" s="936"/>
      <c r="M33" s="937"/>
      <c r="N33" s="937"/>
      <c r="O33" s="937"/>
      <c r="P33" s="937"/>
      <c r="Q33" s="973" t="s">
        <v>57</v>
      </c>
      <c r="R33"/>
      <c r="S33"/>
      <c r="T33"/>
      <c r="U33" s="1115"/>
      <c r="V33" s="1115"/>
      <c r="W33"/>
      <c r="X33"/>
      <c r="Y33"/>
      <c r="Z33"/>
      <c r="AA33"/>
      <c r="AB33"/>
      <c r="AC33"/>
      <c r="AD33"/>
      <c r="AE33"/>
      <c r="AF33"/>
      <c r="AG33" s="973" t="s">
        <v>57</v>
      </c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 s="974" t="s">
        <v>164</v>
      </c>
      <c r="AX33" s="934"/>
      <c r="AY33" s="936"/>
      <c r="AZ33" s="936"/>
      <c r="BA33" s="936"/>
      <c r="BB33" s="936"/>
      <c r="BC33" s="1081"/>
      <c r="BD33" s="1081"/>
      <c r="BE33" s="936"/>
      <c r="BF33" s="936"/>
      <c r="BG33" s="936"/>
      <c r="BH33" s="935"/>
      <c r="BI33" s="935"/>
      <c r="BJ33" s="935"/>
      <c r="BK33" s="935"/>
      <c r="BL33" s="935"/>
      <c r="BM33" s="973" t="s">
        <v>57</v>
      </c>
      <c r="BN33" s="934"/>
      <c r="BO33" s="937"/>
      <c r="BP33" s="937"/>
      <c r="BQ33" s="937"/>
      <c r="BR33" s="937"/>
      <c r="BS33" s="971"/>
      <c r="BT33" s="971"/>
      <c r="BU33" s="971"/>
      <c r="BV33" s="971"/>
      <c r="BW33" s="936"/>
      <c r="BX33" s="936"/>
      <c r="BY33" s="937"/>
      <c r="BZ33" s="937"/>
      <c r="CA33" s="937"/>
      <c r="CB33" s="937"/>
      <c r="CC33" s="973" t="s">
        <v>57</v>
      </c>
      <c r="CD33" s="934"/>
      <c r="CE33" s="1314"/>
      <c r="CF33" s="1314"/>
      <c r="CG33" s="1315" t="s">
        <v>165</v>
      </c>
      <c r="CH33" s="1315"/>
      <c r="CI33" s="1314"/>
      <c r="CJ33" s="936"/>
      <c r="CK33" s="1314"/>
      <c r="CL33" s="1314" t="s">
        <v>166</v>
      </c>
      <c r="CM33" s="1314"/>
      <c r="CN33" s="1314"/>
      <c r="CO33" s="937"/>
      <c r="CP33" s="937"/>
      <c r="CQ33" s="937"/>
      <c r="CR33" s="937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</row>
    <row r="34" spans="1:347" s="927" customFormat="1" ht="15.75" x14ac:dyDescent="0.25">
      <c r="A34" s="974" t="s">
        <v>164</v>
      </c>
      <c r="B34" s="934"/>
      <c r="C34" s="935"/>
      <c r="D34" s="935"/>
      <c r="E34" s="935"/>
      <c r="F34" s="935"/>
      <c r="G34" s="935"/>
      <c r="H34" s="935"/>
      <c r="I34" s="935"/>
      <c r="J34" s="935"/>
      <c r="K34" s="935"/>
      <c r="L34" s="935"/>
      <c r="M34" s="935"/>
      <c r="N34" s="935"/>
      <c r="O34" s="935"/>
      <c r="P34" s="935"/>
      <c r="Q34" s="974" t="s">
        <v>164</v>
      </c>
      <c r="R34"/>
      <c r="S34"/>
      <c r="T34"/>
      <c r="U34" s="1112">
        <v>0.47916666666666669</v>
      </c>
      <c r="V34" s="1113">
        <v>0.8125</v>
      </c>
      <c r="W34"/>
      <c r="X34"/>
      <c r="Y34"/>
      <c r="Z34"/>
      <c r="AA34"/>
      <c r="AB34"/>
      <c r="AC34"/>
      <c r="AD34"/>
      <c r="AE34"/>
      <c r="AF34"/>
      <c r="AG34" s="974" t="s">
        <v>164</v>
      </c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 s="975" t="s">
        <v>132</v>
      </c>
      <c r="AX34"/>
      <c r="AY34" s="936"/>
      <c r="AZ34" s="936"/>
      <c r="BA34" s="936"/>
      <c r="BB34" s="936"/>
      <c r="BC34" s="1081"/>
      <c r="BD34" s="1081"/>
      <c r="BE34" s="936"/>
      <c r="BF34" s="936"/>
      <c r="BG34" s="936"/>
      <c r="BH34"/>
      <c r="BI34"/>
      <c r="BJ34"/>
      <c r="BK34"/>
      <c r="BL34"/>
      <c r="BM34" s="974" t="s">
        <v>164</v>
      </c>
      <c r="BN34" s="934"/>
      <c r="BO34" s="935"/>
      <c r="BP34" s="935"/>
      <c r="BQ34" s="935"/>
      <c r="BR34" s="935"/>
      <c r="BS34" s="971"/>
      <c r="BT34" s="971"/>
      <c r="BU34" s="971"/>
      <c r="BV34" s="971"/>
      <c r="BW34" s="935"/>
      <c r="BX34" s="935"/>
      <c r="BY34" s="935"/>
      <c r="BZ34" s="935"/>
      <c r="CA34" s="935"/>
      <c r="CB34" s="935"/>
      <c r="CC34" s="974" t="s">
        <v>164</v>
      </c>
      <c r="CD34" s="934"/>
      <c r="CE34" s="935"/>
      <c r="CF34" s="935"/>
      <c r="CG34" s="935"/>
      <c r="CH34" s="935"/>
      <c r="CI34" s="935"/>
      <c r="CJ34" s="935"/>
      <c r="CK34" s="935"/>
      <c r="CL34" s="935"/>
      <c r="CM34" s="935"/>
      <c r="CN34" s="935"/>
      <c r="CO34" s="935"/>
      <c r="CP34" s="937"/>
      <c r="CQ34" s="935"/>
      <c r="CR34" s="935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</row>
    <row r="35" spans="1:347" ht="15.75" x14ac:dyDescent="0.25">
      <c r="A35" s="975" t="s">
        <v>132</v>
      </c>
      <c r="Q35" s="1121" t="s">
        <v>132</v>
      </c>
      <c r="U35" s="1110">
        <v>0.79166666666666663</v>
      </c>
      <c r="V35" s="1111">
        <v>8.3333333333333329E-2</v>
      </c>
      <c r="AG35" s="975" t="s">
        <v>132</v>
      </c>
      <c r="AW35" s="976" t="s">
        <v>167</v>
      </c>
      <c r="AY35" s="936"/>
      <c r="AZ35" s="936"/>
      <c r="BA35" s="936"/>
      <c r="BB35" s="936"/>
      <c r="BC35" s="936"/>
      <c r="BD35" s="936"/>
      <c r="BE35" s="936"/>
      <c r="BF35" s="936"/>
      <c r="BG35" s="936"/>
      <c r="BM35" s="975" t="s">
        <v>132</v>
      </c>
      <c r="BS35" s="971"/>
      <c r="BT35" s="971"/>
      <c r="BU35" s="971"/>
      <c r="BV35" s="971"/>
      <c r="CC35" s="975" t="s">
        <v>132</v>
      </c>
      <c r="CG35" s="45" t="s">
        <v>168</v>
      </c>
      <c r="CH35" s="45"/>
    </row>
    <row r="36" spans="1:347" ht="15.75" x14ac:dyDescent="0.25">
      <c r="A36" s="976" t="s">
        <v>167</v>
      </c>
      <c r="Q36" s="976" t="s">
        <v>167</v>
      </c>
      <c r="U36" s="1106" t="s">
        <v>132</v>
      </c>
      <c r="V36" s="1107" t="s">
        <v>132</v>
      </c>
      <c r="AG36" s="976" t="s">
        <v>167</v>
      </c>
      <c r="AW36" s="977" t="s">
        <v>169</v>
      </c>
      <c r="BA36" s="971"/>
      <c r="BG36" s="1089"/>
      <c r="BH36" s="1089"/>
      <c r="BI36" s="1089"/>
      <c r="BJ36" s="1089"/>
      <c r="BK36" s="1089"/>
      <c r="BL36" s="1089"/>
      <c r="BM36" s="976" t="s">
        <v>167</v>
      </c>
      <c r="BS36" s="971"/>
      <c r="BT36" s="971"/>
      <c r="BU36" s="971"/>
      <c r="BV36" s="971"/>
      <c r="CC36" s="976" t="s">
        <v>167</v>
      </c>
    </row>
    <row r="37" spans="1:347" ht="15.75" x14ac:dyDescent="0.25">
      <c r="A37" s="977" t="s">
        <v>169</v>
      </c>
      <c r="Q37" s="977" t="s">
        <v>169</v>
      </c>
      <c r="R37" s="1086"/>
      <c r="S37" s="1086"/>
      <c r="T37" s="1086"/>
      <c r="U37" s="1114" t="s">
        <v>135</v>
      </c>
      <c r="V37" s="1114" t="s">
        <v>138</v>
      </c>
      <c r="AG37" s="977" t="s">
        <v>169</v>
      </c>
      <c r="AH37" s="1087"/>
      <c r="AI37" s="1088"/>
      <c r="AJ37" s="1088"/>
      <c r="AK37" s="1088"/>
      <c r="AL37" s="1088"/>
      <c r="AM37" s="1088"/>
      <c r="AN37" s="1088"/>
      <c r="AO37" s="1088"/>
      <c r="AP37" s="1088"/>
      <c r="AQ37" s="1088"/>
      <c r="AR37" s="1088"/>
      <c r="AS37" s="1088"/>
      <c r="AT37" s="1088"/>
      <c r="AU37" s="1088"/>
      <c r="AV37" s="1088"/>
      <c r="AW37" s="978" t="s">
        <v>170</v>
      </c>
      <c r="AY37" s="1088"/>
      <c r="AZ37" s="1088"/>
      <c r="BA37" s="971"/>
      <c r="BM37" s="977" t="s">
        <v>169</v>
      </c>
      <c r="BS37" s="971"/>
      <c r="BT37" s="971"/>
      <c r="BU37" s="971"/>
      <c r="BV37" s="971"/>
      <c r="CC37" s="977" t="s">
        <v>169</v>
      </c>
    </row>
    <row r="38" spans="1:347" x14ac:dyDescent="0.25">
      <c r="A38" s="978" t="s">
        <v>170</v>
      </c>
      <c r="Q38" s="978" t="s">
        <v>170</v>
      </c>
      <c r="R38" s="941"/>
      <c r="S38" s="941"/>
      <c r="T38" s="941"/>
      <c r="U38" s="941"/>
      <c r="V38" s="941"/>
      <c r="AG38" s="978" t="s">
        <v>171</v>
      </c>
      <c r="AH38" s="1088"/>
      <c r="AI38" s="1088"/>
      <c r="AJ38" s="1088"/>
      <c r="AK38" s="1088"/>
      <c r="AL38" s="1088"/>
      <c r="AM38" s="1088"/>
      <c r="AN38" s="1088"/>
      <c r="AO38" s="1088"/>
      <c r="AP38" s="1088"/>
      <c r="AQ38" s="1088"/>
      <c r="AR38" s="1088"/>
      <c r="AS38" s="1088"/>
      <c r="AT38" s="1088"/>
      <c r="AU38" s="1088"/>
      <c r="AV38" s="1088"/>
      <c r="AW38" s="979" t="s">
        <v>172</v>
      </c>
      <c r="BA38" s="971"/>
      <c r="BM38" s="978" t="s">
        <v>170</v>
      </c>
      <c r="BS38" s="939"/>
      <c r="BT38" s="939"/>
      <c r="CC38" s="978" t="s">
        <v>170</v>
      </c>
    </row>
    <row r="39" spans="1:347" x14ac:dyDescent="0.25">
      <c r="A39" s="979" t="s">
        <v>172</v>
      </c>
      <c r="Q39" s="979" t="s">
        <v>172</v>
      </c>
      <c r="AG39" s="979" t="s">
        <v>172</v>
      </c>
      <c r="AH39" s="1088"/>
      <c r="AI39" s="1088"/>
      <c r="AJ39" s="1088"/>
      <c r="AK39" s="1088"/>
      <c r="AL39" s="1088"/>
      <c r="AM39" s="1088"/>
      <c r="AN39" s="1088"/>
      <c r="AO39" s="1088"/>
      <c r="AP39" s="1088"/>
      <c r="AQ39" s="1088"/>
      <c r="AR39" s="1088"/>
      <c r="AS39" s="1088"/>
      <c r="AT39" s="1088"/>
      <c r="AU39" s="1088"/>
      <c r="AV39" s="1088"/>
      <c r="AW39" s="980" t="s">
        <v>173</v>
      </c>
      <c r="BA39" s="971"/>
      <c r="BM39" s="979" t="s">
        <v>172</v>
      </c>
      <c r="BS39" s="939"/>
      <c r="BT39" s="939"/>
      <c r="CC39" s="979" t="s">
        <v>172</v>
      </c>
    </row>
    <row r="40" spans="1:347" x14ac:dyDescent="0.25">
      <c r="A40" s="980" t="s">
        <v>173</v>
      </c>
      <c r="Q40" s="980" t="s">
        <v>173</v>
      </c>
      <c r="AG40" s="980" t="s">
        <v>173</v>
      </c>
      <c r="AI40" s="1088"/>
      <c r="AJ40" s="1088"/>
      <c r="AK40" s="1088"/>
      <c r="AL40" s="1088" t="s">
        <v>174</v>
      </c>
      <c r="AM40" s="1088"/>
      <c r="AN40" s="1088"/>
      <c r="AO40" s="1088"/>
      <c r="AP40" s="1088"/>
      <c r="AQ40" s="1088"/>
      <c r="AR40" s="1088"/>
      <c r="AS40" s="1088"/>
      <c r="AT40" s="1088"/>
      <c r="AU40" s="1088"/>
      <c r="AV40" s="1088"/>
      <c r="BA40" s="971"/>
      <c r="BM40" s="980" t="s">
        <v>173</v>
      </c>
      <c r="BS40" s="939"/>
      <c r="BT40" s="939"/>
      <c r="CC40" s="980" t="s">
        <v>173</v>
      </c>
    </row>
    <row r="41" spans="1:347" x14ac:dyDescent="0.25">
      <c r="R41" s="941"/>
      <c r="S41" s="941"/>
      <c r="T41" s="941"/>
      <c r="U41" s="941"/>
      <c r="V41" s="941"/>
      <c r="BA41" s="971"/>
    </row>
    <row r="42" spans="1:347" x14ac:dyDescent="0.25">
      <c r="AG42" s="941"/>
      <c r="BA42" s="971"/>
    </row>
    <row r="43" spans="1:347" x14ac:dyDescent="0.25">
      <c r="BA43" s="971"/>
      <c r="CC43" s="941"/>
    </row>
    <row r="44" spans="1:347" x14ac:dyDescent="0.25">
      <c r="BA44" s="971"/>
      <c r="BM44" s="941"/>
    </row>
    <row r="45" spans="1:347" x14ac:dyDescent="0.25">
      <c r="BA45" s="971"/>
    </row>
    <row r="46" spans="1:347" x14ac:dyDescent="0.25">
      <c r="BA46" s="971"/>
    </row>
    <row r="47" spans="1:347" x14ac:dyDescent="0.25">
      <c r="BA47" s="971"/>
    </row>
    <row r="48" spans="1:347" x14ac:dyDescent="0.25">
      <c r="BA48" s="971"/>
    </row>
    <row r="49" spans="17:96" x14ac:dyDescent="0.25">
      <c r="BA49" s="971"/>
    </row>
    <row r="50" spans="17:96" x14ac:dyDescent="0.25">
      <c r="BA50" s="971"/>
    </row>
    <row r="51" spans="17:96" x14ac:dyDescent="0.25">
      <c r="BA51" s="971"/>
    </row>
    <row r="52" spans="17:96" x14ac:dyDescent="0.25">
      <c r="BA52" s="971"/>
    </row>
    <row r="53" spans="17:96" x14ac:dyDescent="0.25">
      <c r="BA53" s="971"/>
    </row>
    <row r="54" spans="17:96" x14ac:dyDescent="0.25">
      <c r="BA54" s="971"/>
      <c r="BG54" s="939"/>
      <c r="BH54" s="939"/>
      <c r="BI54" s="971"/>
      <c r="BJ54" s="971"/>
      <c r="BK54" s="971"/>
      <c r="BL54" s="971"/>
    </row>
    <row r="55" spans="17:96" x14ac:dyDescent="0.25">
      <c r="Q55" s="938"/>
      <c r="R55" s="934"/>
      <c r="S55" s="939"/>
      <c r="T55" s="939"/>
      <c r="U55" s="971"/>
      <c r="V55" s="971"/>
      <c r="W55" s="971"/>
      <c r="X55" s="971"/>
      <c r="Y55" s="939"/>
      <c r="Z55" s="939"/>
      <c r="AA55" s="971"/>
      <c r="AB55" s="971"/>
      <c r="AC55" s="971"/>
      <c r="AD55" s="971"/>
      <c r="AJ55" s="971"/>
      <c r="AK55" s="939"/>
      <c r="AL55" s="939"/>
      <c r="AM55" s="971"/>
      <c r="AN55" s="971"/>
      <c r="AO55" s="971"/>
      <c r="AP55" s="971"/>
      <c r="AQ55" s="971"/>
      <c r="AR55" s="971"/>
      <c r="AS55" s="971"/>
      <c r="AT55" s="971"/>
      <c r="AU55" s="971"/>
      <c r="AV55" s="981"/>
      <c r="BA55" s="971"/>
      <c r="CC55" s="938"/>
      <c r="CD55" s="934"/>
      <c r="CE55" s="939"/>
      <c r="CF55" s="939"/>
      <c r="CG55" s="981"/>
      <c r="CH55" s="981"/>
      <c r="CI55" s="971"/>
      <c r="CJ55" s="971"/>
      <c r="CK55" s="971"/>
      <c r="CL55" s="971"/>
      <c r="CM55" s="982"/>
      <c r="CN55" s="971"/>
      <c r="CO55" s="971"/>
      <c r="CP55" s="971"/>
      <c r="CQ55" s="971"/>
      <c r="CR55" s="971"/>
    </row>
    <row r="56" spans="17:96" x14ac:dyDescent="0.25">
      <c r="BA56" s="971"/>
    </row>
    <row r="57" spans="17:96" x14ac:dyDescent="0.25">
      <c r="BA57" s="971"/>
    </row>
    <row r="58" spans="17:96" x14ac:dyDescent="0.25">
      <c r="BA58" s="971"/>
    </row>
    <row r="59" spans="17:96" x14ac:dyDescent="0.25">
      <c r="BA59" s="971"/>
    </row>
    <row r="60" spans="17:96" x14ac:dyDescent="0.25">
      <c r="BA60" s="971"/>
    </row>
  </sheetData>
  <mergeCells count="133">
    <mergeCell ref="DG4:DH4"/>
    <mergeCell ref="CU4:CV4"/>
    <mergeCell ref="CW4:CX4"/>
    <mergeCell ref="CY4:CZ4"/>
    <mergeCell ref="DA4:DB4"/>
    <mergeCell ref="DC4:DD4"/>
    <mergeCell ref="DE4:DF4"/>
    <mergeCell ref="CG4:CH4"/>
    <mergeCell ref="CI4:CJ4"/>
    <mergeCell ref="CK4:CL4"/>
    <mergeCell ref="CM4:CN4"/>
    <mergeCell ref="CO4:CP4"/>
    <mergeCell ref="CQ4:CR4"/>
    <mergeCell ref="BU4:BV4"/>
    <mergeCell ref="BW4:BX4"/>
    <mergeCell ref="BY4:BZ4"/>
    <mergeCell ref="CA4:CB4"/>
    <mergeCell ref="CE4:CF4"/>
    <mergeCell ref="BE4:BF4"/>
    <mergeCell ref="BG4:BH4"/>
    <mergeCell ref="BI4:BJ4"/>
    <mergeCell ref="BK4:BL4"/>
    <mergeCell ref="BO4:BP4"/>
    <mergeCell ref="BQ4:BR4"/>
    <mergeCell ref="BA4:BB4"/>
    <mergeCell ref="BC4:BD4"/>
    <mergeCell ref="AC4:AD4"/>
    <mergeCell ref="AE4:AF4"/>
    <mergeCell ref="AI4:AJ4"/>
    <mergeCell ref="AK4:AL4"/>
    <mergeCell ref="AM4:AN4"/>
    <mergeCell ref="AO4:AP4"/>
    <mergeCell ref="BS4:BT4"/>
    <mergeCell ref="DA3:DB3"/>
    <mergeCell ref="DC3:DD3"/>
    <mergeCell ref="DE3:DF3"/>
    <mergeCell ref="BE3:BF3"/>
    <mergeCell ref="W3:X3"/>
    <mergeCell ref="Y3:Z3"/>
    <mergeCell ref="AA3:AB3"/>
    <mergeCell ref="AC3:AD3"/>
    <mergeCell ref="AE3:AF3"/>
    <mergeCell ref="AI3:AJ3"/>
    <mergeCell ref="CU3:CV3"/>
    <mergeCell ref="CW3:CX3"/>
    <mergeCell ref="CY3:CZ3"/>
    <mergeCell ref="BQ3:BR3"/>
    <mergeCell ref="BS3:BT3"/>
    <mergeCell ref="BU3:BV3"/>
    <mergeCell ref="BW3:BX3"/>
    <mergeCell ref="BY3:BZ3"/>
    <mergeCell ref="CA3:CB3"/>
    <mergeCell ref="C4:D4"/>
    <mergeCell ref="E4:F4"/>
    <mergeCell ref="G4:H4"/>
    <mergeCell ref="I4:J4"/>
    <mergeCell ref="K4:L4"/>
    <mergeCell ref="M4:N4"/>
    <mergeCell ref="CM3:CN3"/>
    <mergeCell ref="CO3:CP3"/>
    <mergeCell ref="CQ3:CR3"/>
    <mergeCell ref="AS3:AT3"/>
    <mergeCell ref="AU3:AV3"/>
    <mergeCell ref="AY3:AZ3"/>
    <mergeCell ref="BA3:BB3"/>
    <mergeCell ref="BC3:BD3"/>
    <mergeCell ref="O4:P4"/>
    <mergeCell ref="S4:T4"/>
    <mergeCell ref="U4:V4"/>
    <mergeCell ref="W4:X4"/>
    <mergeCell ref="Y4:Z4"/>
    <mergeCell ref="AA4:AB4"/>
    <mergeCell ref="AQ4:AR4"/>
    <mergeCell ref="AS4:AT4"/>
    <mergeCell ref="AU4:AV4"/>
    <mergeCell ref="AY4:AZ4"/>
    <mergeCell ref="C3:D3"/>
    <mergeCell ref="E3:F3"/>
    <mergeCell ref="G3:H3"/>
    <mergeCell ref="I3:J3"/>
    <mergeCell ref="K3:L3"/>
    <mergeCell ref="M3:N3"/>
    <mergeCell ref="O3:P3"/>
    <mergeCell ref="S3:T3"/>
    <mergeCell ref="U3:V3"/>
    <mergeCell ref="AP2:AV2"/>
    <mergeCell ref="AX2:AX3"/>
    <mergeCell ref="AY2:BA2"/>
    <mergeCell ref="BC2:BE2"/>
    <mergeCell ref="AK3:AL3"/>
    <mergeCell ref="AM3:AN3"/>
    <mergeCell ref="AO3:AP3"/>
    <mergeCell ref="AQ3:AR3"/>
    <mergeCell ref="DB2:DH2"/>
    <mergeCell ref="CE2:CG2"/>
    <mergeCell ref="CI2:CK2"/>
    <mergeCell ref="CL2:CR2"/>
    <mergeCell ref="CT2:CT3"/>
    <mergeCell ref="CU2:CW2"/>
    <mergeCell ref="CY2:DA2"/>
    <mergeCell ref="CE3:CF3"/>
    <mergeCell ref="CG3:CH3"/>
    <mergeCell ref="CI3:CJ3"/>
    <mergeCell ref="CK3:CL3"/>
    <mergeCell ref="BF2:BL2"/>
    <mergeCell ref="BN2:BN3"/>
    <mergeCell ref="BO2:BQ2"/>
    <mergeCell ref="BS2:BU2"/>
    <mergeCell ref="DG3:DH3"/>
    <mergeCell ref="CS1:DH1"/>
    <mergeCell ref="B2:B3"/>
    <mergeCell ref="C2:E2"/>
    <mergeCell ref="G2:I2"/>
    <mergeCell ref="J2:P2"/>
    <mergeCell ref="R2:R3"/>
    <mergeCell ref="S2:U2"/>
    <mergeCell ref="W2:Y2"/>
    <mergeCell ref="Z2:AF2"/>
    <mergeCell ref="AH2:AH3"/>
    <mergeCell ref="A1:P1"/>
    <mergeCell ref="Q1:AF1"/>
    <mergeCell ref="AG1:AV1"/>
    <mergeCell ref="AW1:BL1"/>
    <mergeCell ref="BM1:CB1"/>
    <mergeCell ref="CC1:CR1"/>
    <mergeCell ref="BV2:CB2"/>
    <mergeCell ref="CD2:CD3"/>
    <mergeCell ref="BG3:BH3"/>
    <mergeCell ref="BI3:BJ3"/>
    <mergeCell ref="BK3:BL3"/>
    <mergeCell ref="BO3:BP3"/>
    <mergeCell ref="AI2:AK2"/>
    <mergeCell ref="AM2:AO2"/>
  </mergeCells>
  <pageMargins left="0.7" right="0.7" top="0.75" bottom="0.75" header="0.3" footer="0.3"/>
  <pageSetup paperSize="9" scale="10" orientation="landscape" r:id="rId1"/>
  <headerFooter>
    <oddHeader>&amp;R&amp;"Calibri"&amp;10&amp;K000000 Público&amp;1#_x000D_</oddHeader>
    <oddFooter>&amp;L_x000D_&amp;1#&amp;"Calibri"&amp;10&amp;K000000 Público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5EC8-8889-4667-BA19-9A01D6AC70BC}">
  <sheetPr>
    <pageSetUpPr fitToPage="1"/>
  </sheetPr>
  <dimension ref="A1:CB58"/>
  <sheetViews>
    <sheetView topLeftCell="BH1" zoomScale="55" zoomScaleNormal="55" zoomScaleSheetLayoutView="40" workbookViewId="0">
      <selection activeCell="BW18" sqref="BW18"/>
    </sheetView>
  </sheetViews>
  <sheetFormatPr baseColWidth="10" defaultColWidth="40.5703125" defaultRowHeight="28.5" x14ac:dyDescent="0.45"/>
  <cols>
    <col min="1" max="1" width="41.28515625" style="988" customWidth="1"/>
    <col min="2" max="2" width="11.7109375" style="988" bestFit="1" customWidth="1"/>
    <col min="3" max="5" width="13.42578125" style="988" customWidth="1"/>
    <col min="6" max="6" width="13.5703125" style="988" customWidth="1"/>
    <col min="7" max="10" width="13.42578125" style="988" customWidth="1"/>
    <col min="11" max="11" width="13.5703125" style="988" customWidth="1"/>
    <col min="12" max="14" width="13.42578125" style="988" customWidth="1"/>
    <col min="15" max="16" width="13.5703125" style="988" customWidth="1"/>
    <col min="17" max="17" width="41.28515625" style="988" customWidth="1"/>
    <col min="18" max="18" width="11.7109375" style="988" bestFit="1" customWidth="1"/>
    <col min="19" max="21" width="13.42578125" style="988" customWidth="1"/>
    <col min="22" max="22" width="13.5703125" style="988" customWidth="1"/>
    <col min="23" max="26" width="13.42578125" style="988" customWidth="1"/>
    <col min="27" max="27" width="13.5703125" style="988" customWidth="1"/>
    <col min="28" max="30" width="13.42578125" style="988" customWidth="1"/>
    <col min="31" max="32" width="13.5703125" style="988" customWidth="1"/>
    <col min="33" max="33" width="41.28515625" style="988" customWidth="1"/>
    <col min="34" max="34" width="11.7109375" style="988" bestFit="1" customWidth="1"/>
    <col min="35" max="37" width="13.42578125" style="988" customWidth="1"/>
    <col min="38" max="38" width="13.5703125" style="988" customWidth="1"/>
    <col min="39" max="42" width="13.42578125" style="988" customWidth="1"/>
    <col min="43" max="43" width="13.5703125" style="988" customWidth="1"/>
    <col min="44" max="46" width="13.42578125" style="988" customWidth="1"/>
    <col min="47" max="48" width="13.5703125" style="988" customWidth="1"/>
    <col min="49" max="49" width="41.28515625" style="988" customWidth="1"/>
    <col min="50" max="50" width="11.7109375" style="988" bestFit="1" customWidth="1"/>
    <col min="51" max="53" width="13.42578125" style="988" customWidth="1"/>
    <col min="54" max="54" width="13.5703125" style="988" customWidth="1"/>
    <col min="55" max="58" width="13.42578125" style="988" customWidth="1"/>
    <col min="59" max="59" width="13.5703125" style="988" customWidth="1"/>
    <col min="60" max="62" width="13.42578125" style="988" customWidth="1"/>
    <col min="63" max="64" width="13.5703125" style="988" customWidth="1"/>
    <col min="65" max="65" width="41.28515625" style="988" customWidth="1"/>
    <col min="66" max="66" width="11.7109375" style="988" customWidth="1"/>
    <col min="67" max="69" width="13.42578125" style="988" customWidth="1"/>
    <col min="70" max="70" width="13.5703125" style="988" customWidth="1"/>
    <col min="71" max="74" width="13.42578125" style="988" customWidth="1"/>
    <col min="75" max="75" width="13.5703125" style="988" customWidth="1"/>
    <col min="76" max="78" width="13.42578125" style="988" customWidth="1"/>
    <col min="79" max="80" width="13.5703125" style="988" customWidth="1"/>
    <col min="81" max="16384" width="40.5703125" style="988"/>
  </cols>
  <sheetData>
    <row r="1" spans="1:80" ht="29.25" customHeight="1" thickBot="1" x14ac:dyDescent="0.5">
      <c r="A1" s="2111" t="s">
        <v>280</v>
      </c>
      <c r="B1" s="2111"/>
      <c r="C1" s="2111"/>
      <c r="D1" s="2111"/>
      <c r="E1" s="2111"/>
      <c r="F1" s="2111"/>
      <c r="G1" s="2111"/>
      <c r="H1" s="2111"/>
      <c r="I1" s="2111"/>
      <c r="J1" s="2111"/>
      <c r="K1" s="2111"/>
      <c r="L1" s="2111"/>
      <c r="M1" s="2111"/>
      <c r="N1" s="2111"/>
      <c r="O1" s="2111"/>
      <c r="P1" s="2112"/>
      <c r="Q1" s="1093" t="s">
        <v>5</v>
      </c>
      <c r="R1" s="2098"/>
      <c r="S1" s="2099"/>
      <c r="T1" s="2100"/>
      <c r="U1" s="2100"/>
      <c r="V1" s="989" t="s">
        <v>3</v>
      </c>
      <c r="W1" s="2104"/>
      <c r="X1" s="2100"/>
      <c r="Y1" s="2105"/>
      <c r="Z1" s="2089"/>
      <c r="AA1" s="2090"/>
      <c r="AB1" s="2090"/>
      <c r="AC1" s="2090"/>
      <c r="AD1" s="2090"/>
      <c r="AE1" s="2090"/>
      <c r="AF1" s="2091"/>
      <c r="AG1" s="1093" t="s">
        <v>87</v>
      </c>
      <c r="AH1" s="2085"/>
      <c r="AI1" s="2092"/>
      <c r="AJ1" s="2093"/>
      <c r="AK1" s="2094"/>
      <c r="AL1" s="1664" t="s">
        <v>3</v>
      </c>
      <c r="AM1" s="2092"/>
      <c r="AN1" s="2093"/>
      <c r="AO1" s="2094"/>
      <c r="AP1" s="2095"/>
      <c r="AQ1" s="2096"/>
      <c r="AR1" s="2096"/>
      <c r="AS1" s="2096"/>
      <c r="AT1" s="2096"/>
      <c r="AU1" s="2096"/>
      <c r="AV1" s="2097"/>
      <c r="AW1" s="1665" t="s">
        <v>88</v>
      </c>
      <c r="AX1" s="2098"/>
      <c r="AY1" s="2099"/>
      <c r="AZ1" s="2100"/>
      <c r="BA1" s="2100"/>
      <c r="BB1" s="989" t="s">
        <v>3</v>
      </c>
      <c r="BC1" s="2104"/>
      <c r="BD1" s="2100"/>
      <c r="BE1" s="2105"/>
      <c r="BF1" s="2089"/>
      <c r="BG1" s="2090"/>
      <c r="BH1" s="2090"/>
      <c r="BI1" s="2090"/>
      <c r="BJ1" s="2090"/>
      <c r="BK1" s="2090"/>
      <c r="BL1" s="2091"/>
      <c r="BM1" s="1093" t="s">
        <v>7</v>
      </c>
      <c r="BN1" s="2098"/>
      <c r="BO1" s="2099">
        <v>46226</v>
      </c>
      <c r="BP1" s="2100"/>
      <c r="BQ1" s="2100"/>
      <c r="BR1" s="989" t="s">
        <v>3</v>
      </c>
      <c r="BS1" s="2104">
        <v>46232</v>
      </c>
      <c r="BT1" s="2100"/>
      <c r="BU1" s="2105"/>
      <c r="BV1" s="2089"/>
      <c r="BW1" s="2090"/>
      <c r="BX1" s="2090"/>
      <c r="BY1" s="2090"/>
      <c r="BZ1" s="2090"/>
      <c r="CA1" s="2090"/>
      <c r="CB1" s="2091"/>
    </row>
    <row r="2" spans="1:80" ht="29.25" customHeight="1" thickBot="1" x14ac:dyDescent="0.5">
      <c r="A2" s="1093" t="s">
        <v>2</v>
      </c>
      <c r="B2" s="2098"/>
      <c r="C2" s="2099"/>
      <c r="D2" s="2100"/>
      <c r="E2" s="2100"/>
      <c r="F2" s="989" t="s">
        <v>3</v>
      </c>
      <c r="G2" s="2104"/>
      <c r="H2" s="2100"/>
      <c r="I2" s="2105"/>
      <c r="J2" s="2089"/>
      <c r="K2" s="2090"/>
      <c r="L2" s="2090"/>
      <c r="M2" s="2090"/>
      <c r="N2" s="2090"/>
      <c r="O2" s="2090"/>
      <c r="P2" s="2091"/>
      <c r="Q2" s="1118"/>
      <c r="R2" s="2086"/>
      <c r="S2" s="2110" t="s">
        <v>9</v>
      </c>
      <c r="T2" s="2087"/>
      <c r="U2" s="2103" t="s">
        <v>10</v>
      </c>
      <c r="V2" s="2103"/>
      <c r="W2" s="2087" t="s">
        <v>11</v>
      </c>
      <c r="X2" s="2087"/>
      <c r="Y2" s="2087" t="s">
        <v>12</v>
      </c>
      <c r="Z2" s="2087"/>
      <c r="AA2" s="2087" t="s">
        <v>13</v>
      </c>
      <c r="AB2" s="2087"/>
      <c r="AC2" s="2103" t="s">
        <v>14</v>
      </c>
      <c r="AD2" s="2103"/>
      <c r="AE2" s="2108" t="s">
        <v>15</v>
      </c>
      <c r="AF2" s="2109"/>
      <c r="AG2" s="1118"/>
      <c r="AH2" s="2086"/>
      <c r="AI2" s="2101" t="s">
        <v>9</v>
      </c>
      <c r="AJ2" s="2102"/>
      <c r="AK2" s="2102" t="s">
        <v>10</v>
      </c>
      <c r="AL2" s="2102"/>
      <c r="AM2" s="2103" t="s">
        <v>11</v>
      </c>
      <c r="AN2" s="2103"/>
      <c r="AO2" s="2102" t="s">
        <v>12</v>
      </c>
      <c r="AP2" s="2102"/>
      <c r="AQ2" s="2087" t="s">
        <v>13</v>
      </c>
      <c r="AR2" s="2087"/>
      <c r="AS2" s="2087" t="s">
        <v>14</v>
      </c>
      <c r="AT2" s="2087"/>
      <c r="AU2" s="2108" t="s">
        <v>15</v>
      </c>
      <c r="AV2" s="2109"/>
      <c r="AW2" s="1118"/>
      <c r="AX2" s="2086"/>
      <c r="AY2" s="2110" t="s">
        <v>9</v>
      </c>
      <c r="AZ2" s="2087"/>
      <c r="BA2" s="2087" t="s">
        <v>10</v>
      </c>
      <c r="BB2" s="2087"/>
      <c r="BC2" s="2087" t="s">
        <v>11</v>
      </c>
      <c r="BD2" s="2087"/>
      <c r="BE2" s="2087" t="s">
        <v>12</v>
      </c>
      <c r="BF2" s="2087"/>
      <c r="BG2" s="2088" t="s">
        <v>13</v>
      </c>
      <c r="BH2" s="2088"/>
      <c r="BI2" s="2088" t="s">
        <v>14</v>
      </c>
      <c r="BJ2" s="2088"/>
      <c r="BK2" s="2088" t="s">
        <v>15</v>
      </c>
      <c r="BL2" s="2106"/>
      <c r="BM2" s="1118"/>
      <c r="BN2" s="2086"/>
      <c r="BO2" s="2069" t="s">
        <v>9</v>
      </c>
      <c r="BP2" s="2070"/>
      <c r="BQ2" s="2070" t="s">
        <v>10</v>
      </c>
      <c r="BR2" s="2070"/>
      <c r="BS2" s="2070" t="s">
        <v>11</v>
      </c>
      <c r="BT2" s="2070"/>
      <c r="BU2" s="2070" t="s">
        <v>12</v>
      </c>
      <c r="BV2" s="2070"/>
      <c r="BW2" s="2070" t="s">
        <v>13</v>
      </c>
      <c r="BX2" s="2070"/>
      <c r="BY2" s="2070" t="s">
        <v>14</v>
      </c>
      <c r="BZ2" s="2070"/>
      <c r="CA2" s="2070" t="s">
        <v>15</v>
      </c>
      <c r="CB2" s="2107"/>
    </row>
    <row r="3" spans="1:80" ht="29.25" customHeight="1" thickBot="1" x14ac:dyDescent="0.5">
      <c r="A3" s="1118"/>
      <c r="B3" s="2086"/>
      <c r="C3" s="2081" t="s">
        <v>9</v>
      </c>
      <c r="D3" s="2065"/>
      <c r="E3" s="2064" t="s">
        <v>10</v>
      </c>
      <c r="F3" s="2065"/>
      <c r="G3" s="2082" t="s">
        <v>11</v>
      </c>
      <c r="H3" s="2083"/>
      <c r="I3" s="2064" t="s">
        <v>12</v>
      </c>
      <c r="J3" s="2065"/>
      <c r="K3" s="2066" t="s">
        <v>13</v>
      </c>
      <c r="L3" s="2084"/>
      <c r="M3" s="2064" t="s">
        <v>14</v>
      </c>
      <c r="N3" s="2065"/>
      <c r="O3" s="2066" t="s">
        <v>15</v>
      </c>
      <c r="P3" s="2067"/>
      <c r="Q3" s="1222" t="s">
        <v>16</v>
      </c>
      <c r="R3" s="1223" t="s">
        <v>17</v>
      </c>
      <c r="S3" s="2059">
        <v>46205</v>
      </c>
      <c r="T3" s="2059"/>
      <c r="U3" s="2068">
        <f>S3+1</f>
        <v>46206</v>
      </c>
      <c r="V3" s="2068"/>
      <c r="W3" s="2059">
        <f>U3+1</f>
        <v>46207</v>
      </c>
      <c r="X3" s="2059"/>
      <c r="Y3" s="2059">
        <f>W3+1</f>
        <v>46208</v>
      </c>
      <c r="Z3" s="2059"/>
      <c r="AA3" s="2059">
        <f>Y3+1</f>
        <v>46209</v>
      </c>
      <c r="AB3" s="2060"/>
      <c r="AC3" s="2068">
        <f>AA3+1</f>
        <v>46210</v>
      </c>
      <c r="AD3" s="2073"/>
      <c r="AE3" s="2074">
        <f>AC3+1</f>
        <v>46211</v>
      </c>
      <c r="AF3" s="2075"/>
      <c r="AG3" s="1222" t="s">
        <v>16</v>
      </c>
      <c r="AH3" s="1223" t="s">
        <v>17</v>
      </c>
      <c r="AI3" s="2076">
        <v>46212</v>
      </c>
      <c r="AJ3" s="2076"/>
      <c r="AK3" s="2077">
        <f>AI3+1</f>
        <v>46213</v>
      </c>
      <c r="AL3" s="2078"/>
      <c r="AM3" s="2079">
        <f>AK3+1</f>
        <v>46214</v>
      </c>
      <c r="AN3" s="2080"/>
      <c r="AO3" s="2077">
        <f>AM3+1</f>
        <v>46215</v>
      </c>
      <c r="AP3" s="2077"/>
      <c r="AQ3" s="2059">
        <f>AO3+1</f>
        <v>46216</v>
      </c>
      <c r="AR3" s="2060"/>
      <c r="AS3" s="2059">
        <f>AQ3+1</f>
        <v>46217</v>
      </c>
      <c r="AT3" s="2060"/>
      <c r="AU3" s="2071">
        <f>AS3+1</f>
        <v>46218</v>
      </c>
      <c r="AV3" s="2072"/>
      <c r="AW3" s="1222" t="s">
        <v>16</v>
      </c>
      <c r="AX3" s="1663" t="s">
        <v>17</v>
      </c>
      <c r="AY3" s="2061">
        <v>46219</v>
      </c>
      <c r="AZ3" s="2062"/>
      <c r="BA3" s="2061">
        <f>AY3+1</f>
        <v>46220</v>
      </c>
      <c r="BB3" s="2062"/>
      <c r="BC3" s="2063">
        <f>BA3+1</f>
        <v>46221</v>
      </c>
      <c r="BD3" s="2061"/>
      <c r="BE3" s="2061">
        <f>BC3+1</f>
        <v>46222</v>
      </c>
      <c r="BF3" s="2061"/>
      <c r="BG3" s="2045">
        <f>BE3+1</f>
        <v>46223</v>
      </c>
      <c r="BH3" s="2046"/>
      <c r="BI3" s="2045">
        <f>BG3+1</f>
        <v>46224</v>
      </c>
      <c r="BJ3" s="2046"/>
      <c r="BK3" s="2056">
        <f>BI3+1</f>
        <v>46225</v>
      </c>
      <c r="BL3" s="2057"/>
      <c r="BM3" s="1222" t="s">
        <v>16</v>
      </c>
      <c r="BN3" s="1663" t="s">
        <v>17</v>
      </c>
      <c r="BO3" s="2047">
        <v>46226</v>
      </c>
      <c r="BP3" s="2048"/>
      <c r="BQ3" s="2047">
        <f>BO3+1</f>
        <v>46227</v>
      </c>
      <c r="BR3" s="2048"/>
      <c r="BS3" s="2058">
        <f>BQ3+1</f>
        <v>46228</v>
      </c>
      <c r="BT3" s="2047"/>
      <c r="BU3" s="2047">
        <f>BS3+1</f>
        <v>46229</v>
      </c>
      <c r="BV3" s="2047"/>
      <c r="BW3" s="2047">
        <f>BU3+1</f>
        <v>46230</v>
      </c>
      <c r="BX3" s="2048"/>
      <c r="BY3" s="2047">
        <f>BW3+1</f>
        <v>46231</v>
      </c>
      <c r="BZ3" s="2048"/>
      <c r="CA3" s="2047">
        <f>BY3+1</f>
        <v>46232</v>
      </c>
      <c r="CB3" s="2048"/>
    </row>
    <row r="4" spans="1:80" ht="30" customHeight="1" thickTop="1" thickBot="1" x14ac:dyDescent="0.5">
      <c r="A4" s="1222" t="s">
        <v>16</v>
      </c>
      <c r="B4" s="1223" t="s">
        <v>17</v>
      </c>
      <c r="C4" s="2049">
        <v>46198</v>
      </c>
      <c r="D4" s="2050"/>
      <c r="E4" s="2049">
        <f>C4+1</f>
        <v>46199</v>
      </c>
      <c r="F4" s="2050"/>
      <c r="G4" s="2051">
        <f>E4+1</f>
        <v>46200</v>
      </c>
      <c r="H4" s="2052"/>
      <c r="I4" s="2049">
        <f>G4+1</f>
        <v>46201</v>
      </c>
      <c r="J4" s="2050"/>
      <c r="K4" s="2053">
        <f>I4+1</f>
        <v>46202</v>
      </c>
      <c r="L4" s="2054"/>
      <c r="M4" s="2049">
        <f>K4+1</f>
        <v>46203</v>
      </c>
      <c r="N4" s="2050"/>
      <c r="O4" s="2053">
        <f>M4+1</f>
        <v>46204</v>
      </c>
      <c r="P4" s="2055"/>
      <c r="Q4" s="1224" t="s">
        <v>89</v>
      </c>
      <c r="R4" s="1485" t="s">
        <v>19</v>
      </c>
      <c r="S4" s="1490">
        <v>0.375</v>
      </c>
      <c r="T4" s="1465">
        <v>0.70833333333333337</v>
      </c>
      <c r="U4" s="1465">
        <v>0.375</v>
      </c>
      <c r="V4" s="1465">
        <v>0.70833333333333337</v>
      </c>
      <c r="W4" s="1466" t="s">
        <v>90</v>
      </c>
      <c r="X4" s="1466" t="s">
        <v>90</v>
      </c>
      <c r="Y4" s="1465">
        <v>0.375</v>
      </c>
      <c r="Z4" s="1494">
        <v>0.70833333333333337</v>
      </c>
      <c r="AA4" s="1493" t="s">
        <v>91</v>
      </c>
      <c r="AB4" s="1466" t="s">
        <v>91</v>
      </c>
      <c r="AC4" s="1465">
        <v>0.375</v>
      </c>
      <c r="AD4" s="1465">
        <v>0.70833333333333337</v>
      </c>
      <c r="AE4" s="1465">
        <v>0.375</v>
      </c>
      <c r="AF4" s="1467">
        <v>0.70833333333333337</v>
      </c>
      <c r="AG4" s="1224" t="s">
        <v>89</v>
      </c>
      <c r="AH4" s="1144" t="s">
        <v>19</v>
      </c>
      <c r="AI4" s="1552">
        <v>0.375</v>
      </c>
      <c r="AJ4" s="1545">
        <v>0.70833333333333337</v>
      </c>
      <c r="AK4" s="1546">
        <v>0.375</v>
      </c>
      <c r="AL4" s="1538">
        <v>0.70833333333333337</v>
      </c>
      <c r="AM4" s="1543">
        <v>0.375</v>
      </c>
      <c r="AN4" s="1467">
        <v>0.70833333333333337</v>
      </c>
      <c r="AO4" s="1518" t="s">
        <v>92</v>
      </c>
      <c r="AP4" s="1544" t="s">
        <v>92</v>
      </c>
      <c r="AQ4" s="1545">
        <v>0.375</v>
      </c>
      <c r="AR4" s="1553">
        <v>0.70833333333333337</v>
      </c>
      <c r="AS4" s="1545">
        <v>0.375</v>
      </c>
      <c r="AT4" s="1545">
        <v>0.70833333333333337</v>
      </c>
      <c r="AU4" s="1543">
        <v>0.375</v>
      </c>
      <c r="AV4" s="1467">
        <v>0.70833333333333337</v>
      </c>
      <c r="AW4" s="1224" t="s">
        <v>89</v>
      </c>
      <c r="AX4" s="1668" t="s">
        <v>19</v>
      </c>
      <c r="AY4" s="1552">
        <v>0.375</v>
      </c>
      <c r="AZ4" s="1545">
        <v>0.70833333333333337</v>
      </c>
      <c r="BA4" s="1669" t="s">
        <v>93</v>
      </c>
      <c r="BB4" s="1408" t="s">
        <v>93</v>
      </c>
      <c r="BC4" s="1104" t="s">
        <v>94</v>
      </c>
      <c r="BD4" s="1104" t="s">
        <v>94</v>
      </c>
      <c r="BE4" s="1899">
        <v>0.375</v>
      </c>
      <c r="BF4" s="1899">
        <v>0.70833333333333337</v>
      </c>
      <c r="BG4" s="1545">
        <v>0.33333333333333331</v>
      </c>
      <c r="BH4" s="1545">
        <v>0.66666666666666663</v>
      </c>
      <c r="BI4" s="1692">
        <v>0.33333333333333331</v>
      </c>
      <c r="BJ4" s="1692">
        <v>0.66666666666666663</v>
      </c>
      <c r="BK4" s="1545">
        <v>0.33333333333333331</v>
      </c>
      <c r="BL4" s="1545">
        <v>0.66666666666666663</v>
      </c>
      <c r="BM4" s="1224" t="s">
        <v>89</v>
      </c>
      <c r="BN4" s="1662" t="s">
        <v>19</v>
      </c>
      <c r="BO4" s="1934">
        <v>0.33333333333333331</v>
      </c>
      <c r="BP4" s="1935">
        <v>0.66666666666666663</v>
      </c>
      <c r="BQ4" s="1936">
        <v>0.33333333333333331</v>
      </c>
      <c r="BR4" s="1937">
        <v>0.66666666666666663</v>
      </c>
      <c r="BS4" s="1936">
        <v>0.33333333333333331</v>
      </c>
      <c r="BT4" s="1936">
        <v>0.66666666666666663</v>
      </c>
      <c r="BU4" s="1932" t="s">
        <v>95</v>
      </c>
      <c r="BV4" s="1933" t="s">
        <v>95</v>
      </c>
      <c r="BW4" s="2034">
        <v>0.33333333333333331</v>
      </c>
      <c r="BX4" s="2034">
        <v>0.66666666666666663</v>
      </c>
      <c r="BY4" s="1938">
        <v>0.33333333333333331</v>
      </c>
      <c r="BZ4" s="1935">
        <v>0.66666666666666663</v>
      </c>
      <c r="CA4" s="1936">
        <v>0.33333333333333331</v>
      </c>
      <c r="CB4" s="1939">
        <v>0.66666666666666663</v>
      </c>
    </row>
    <row r="5" spans="1:80" x14ac:dyDescent="0.45">
      <c r="A5" s="1421" t="s">
        <v>89</v>
      </c>
      <c r="B5" s="1419" t="s">
        <v>19</v>
      </c>
      <c r="C5" s="1411">
        <v>0.375</v>
      </c>
      <c r="D5" s="1326">
        <v>0.70833333333333337</v>
      </c>
      <c r="E5" s="1326">
        <v>0.375</v>
      </c>
      <c r="F5" s="1326">
        <v>0.70833333333333337</v>
      </c>
      <c r="G5" s="1326">
        <v>0.375</v>
      </c>
      <c r="H5" s="1326">
        <v>0.70833333333333337</v>
      </c>
      <c r="I5" s="1318" t="s">
        <v>95</v>
      </c>
      <c r="J5" s="1318" t="s">
        <v>95</v>
      </c>
      <c r="K5" s="1326">
        <v>0.375</v>
      </c>
      <c r="L5" s="1326">
        <v>0.70833333333333337</v>
      </c>
      <c r="M5" s="1326">
        <v>0.375</v>
      </c>
      <c r="N5" s="1326">
        <v>0.70833333333333337</v>
      </c>
      <c r="O5" s="1326">
        <v>0.375</v>
      </c>
      <c r="P5" s="1401">
        <v>0.70833333333333337</v>
      </c>
      <c r="Q5" s="1225" t="s">
        <v>96</v>
      </c>
      <c r="R5" s="1144" t="s">
        <v>19</v>
      </c>
      <c r="S5" s="1143">
        <v>0.75</v>
      </c>
      <c r="T5" s="1090">
        <v>4.1666666666666664E-2</v>
      </c>
      <c r="U5" s="1005">
        <v>0.75</v>
      </c>
      <c r="V5" s="1005">
        <v>4.1666666666666664E-2</v>
      </c>
      <c r="W5" s="1104" t="s">
        <v>90</v>
      </c>
      <c r="X5" s="1104" t="s">
        <v>90</v>
      </c>
      <c r="Y5" s="1104" t="s">
        <v>91</v>
      </c>
      <c r="Z5" s="1271" t="s">
        <v>91</v>
      </c>
      <c r="AA5" s="1239">
        <v>0.75</v>
      </c>
      <c r="AB5" s="1005">
        <v>4.1666666666666664E-2</v>
      </c>
      <c r="AC5" s="1005">
        <v>0.75</v>
      </c>
      <c r="AD5" s="1005">
        <v>4.1666666666666664E-2</v>
      </c>
      <c r="AE5" s="1005">
        <v>0.75</v>
      </c>
      <c r="AF5" s="1468">
        <v>4.1666666666666664E-2</v>
      </c>
      <c r="AG5" s="1225" t="s">
        <v>96</v>
      </c>
      <c r="AH5" s="1144" t="s">
        <v>19</v>
      </c>
      <c r="AI5" s="1143">
        <v>0.75</v>
      </c>
      <c r="AJ5" s="1090">
        <v>4.1666666666666664E-2</v>
      </c>
      <c r="AK5" s="1005">
        <v>0.75</v>
      </c>
      <c r="AL5" s="1005">
        <v>4.1666666666666664E-2</v>
      </c>
      <c r="AM5" s="1104" t="s">
        <v>92</v>
      </c>
      <c r="AN5" s="1271" t="s">
        <v>92</v>
      </c>
      <c r="AO5" s="1135">
        <v>0.75</v>
      </c>
      <c r="AP5" s="1005">
        <v>4.1666666666666664E-2</v>
      </c>
      <c r="AQ5" s="1244">
        <v>0.75</v>
      </c>
      <c r="AR5" s="1005">
        <v>4.1666666666666664E-2</v>
      </c>
      <c r="AS5" s="1005">
        <v>0.75</v>
      </c>
      <c r="AT5" s="1005">
        <v>4.1666666666666664E-2</v>
      </c>
      <c r="AU5" s="1005">
        <v>0.75</v>
      </c>
      <c r="AV5" s="1468">
        <v>4.1666666666666664E-2</v>
      </c>
      <c r="AW5" s="1225" t="s">
        <v>96</v>
      </c>
      <c r="AX5" s="1144" t="s">
        <v>19</v>
      </c>
      <c r="AY5" s="1143">
        <v>0.75</v>
      </c>
      <c r="AZ5" s="1090">
        <v>4.1666666666666664E-2</v>
      </c>
      <c r="BA5" s="1104" t="s">
        <v>93</v>
      </c>
      <c r="BB5" s="1104" t="s">
        <v>93</v>
      </c>
      <c r="BC5" s="1101">
        <v>0.79166666666666663</v>
      </c>
      <c r="BD5" s="1101">
        <v>8.3333333333333329E-2</v>
      </c>
      <c r="BE5" s="1145">
        <v>0.75</v>
      </c>
      <c r="BF5" s="1145">
        <v>4.1666666666666664E-2</v>
      </c>
      <c r="BG5" s="1244">
        <v>0.75</v>
      </c>
      <c r="BH5" s="1481">
        <v>4.1666666666666664E-2</v>
      </c>
      <c r="BI5" s="1438">
        <v>0.75</v>
      </c>
      <c r="BJ5" s="1438">
        <v>4.1666666666666664E-2</v>
      </c>
      <c r="BK5" s="1244">
        <v>0.75</v>
      </c>
      <c r="BL5" s="1090">
        <v>4.1666666666666664E-2</v>
      </c>
      <c r="BM5" s="1225" t="s">
        <v>96</v>
      </c>
      <c r="BN5" s="1144" t="s">
        <v>19</v>
      </c>
      <c r="BO5" s="1519">
        <v>0.70833333333333337</v>
      </c>
      <c r="BP5" s="1409">
        <v>1.3888888888888888E-2</v>
      </c>
      <c r="BQ5" s="1808">
        <v>0.70833333333333337</v>
      </c>
      <c r="BR5" s="1123">
        <v>1.3888888888888888E-2</v>
      </c>
      <c r="BS5" s="1408" t="s">
        <v>94</v>
      </c>
      <c r="BT5" s="1408" t="s">
        <v>94</v>
      </c>
      <c r="BU5" s="1104" t="s">
        <v>95</v>
      </c>
      <c r="BV5" s="1104" t="s">
        <v>95</v>
      </c>
      <c r="BW5" s="1435">
        <v>0.70833333333333337</v>
      </c>
      <c r="BX5" s="1407">
        <v>1.3888888888888888E-2</v>
      </c>
      <c r="BY5" s="1005">
        <v>0.70833333333333337</v>
      </c>
      <c r="BZ5" s="1005">
        <v>1.3888888888888888E-2</v>
      </c>
      <c r="CA5" s="1407">
        <v>0.70833333333333337</v>
      </c>
      <c r="CB5" s="1940">
        <v>1.3888888888888888E-2</v>
      </c>
    </row>
    <row r="6" spans="1:80" x14ac:dyDescent="0.45">
      <c r="A6" s="1422" t="s">
        <v>96</v>
      </c>
      <c r="B6" s="1420" t="s">
        <v>19</v>
      </c>
      <c r="C6" s="1412">
        <v>0.75</v>
      </c>
      <c r="D6" s="1090">
        <v>4.1666666666666664E-2</v>
      </c>
      <c r="E6" s="1090">
        <v>0.6875</v>
      </c>
      <c r="F6" s="1090">
        <v>0</v>
      </c>
      <c r="G6" s="1005">
        <v>0.75</v>
      </c>
      <c r="H6" s="1005">
        <v>4.1666666666666664E-2</v>
      </c>
      <c r="I6" s="1104" t="s">
        <v>95</v>
      </c>
      <c r="J6" s="1104" t="s">
        <v>95</v>
      </c>
      <c r="K6" s="1005">
        <v>0.75</v>
      </c>
      <c r="L6" s="1005">
        <v>4.1666666666666664E-2</v>
      </c>
      <c r="M6" s="1005">
        <v>0.75</v>
      </c>
      <c r="N6" s="1005">
        <v>4.1666666666666664E-2</v>
      </c>
      <c r="O6" s="1005">
        <v>0.75</v>
      </c>
      <c r="P6" s="1327">
        <v>4.1666666666666664E-2</v>
      </c>
      <c r="Q6" s="1226" t="s">
        <v>21</v>
      </c>
      <c r="R6" s="1144" t="s">
        <v>19</v>
      </c>
      <c r="S6" s="1458">
        <v>0.6875</v>
      </c>
      <c r="T6" s="1459">
        <v>0</v>
      </c>
      <c r="U6" s="1005">
        <v>0.6875</v>
      </c>
      <c r="V6" s="1005">
        <v>0</v>
      </c>
      <c r="W6" s="1104" t="s">
        <v>90</v>
      </c>
      <c r="X6" s="1104" t="s">
        <v>90</v>
      </c>
      <c r="Y6" s="1104" t="s">
        <v>91</v>
      </c>
      <c r="Z6" s="1271" t="s">
        <v>91</v>
      </c>
      <c r="AA6" s="1143">
        <v>0.6875</v>
      </c>
      <c r="AB6" s="1005">
        <v>0</v>
      </c>
      <c r="AC6" s="1090">
        <v>0.6875</v>
      </c>
      <c r="AD6" s="1005">
        <v>0</v>
      </c>
      <c r="AE6" s="1459">
        <v>0.6875</v>
      </c>
      <c r="AF6" s="1469">
        <v>0</v>
      </c>
      <c r="AG6" s="1226" t="s">
        <v>21</v>
      </c>
      <c r="AH6" s="1144" t="s">
        <v>19</v>
      </c>
      <c r="AI6" s="1458">
        <v>0.6875</v>
      </c>
      <c r="AJ6" s="1459">
        <v>0</v>
      </c>
      <c r="AK6" s="1308">
        <v>0.6875</v>
      </c>
      <c r="AL6" s="1308">
        <v>0</v>
      </c>
      <c r="AM6" s="1104" t="s">
        <v>92</v>
      </c>
      <c r="AN6" s="1271" t="s">
        <v>92</v>
      </c>
      <c r="AO6" s="1534">
        <v>0.6875</v>
      </c>
      <c r="AP6" s="1308">
        <v>0</v>
      </c>
      <c r="AQ6" s="1166">
        <v>0.6875</v>
      </c>
      <c r="AR6" s="1136">
        <v>0</v>
      </c>
      <c r="AS6" s="1123">
        <v>0.6875</v>
      </c>
      <c r="AT6" s="1123">
        <v>0</v>
      </c>
      <c r="AU6" s="1005">
        <v>0.6875</v>
      </c>
      <c r="AV6" s="1468">
        <v>0</v>
      </c>
      <c r="AW6" s="1226" t="s">
        <v>21</v>
      </c>
      <c r="AX6" s="1144" t="s">
        <v>19</v>
      </c>
      <c r="AY6" s="1143">
        <v>0.6875</v>
      </c>
      <c r="AZ6" s="1090">
        <v>0</v>
      </c>
      <c r="BA6" s="1104" t="s">
        <v>93</v>
      </c>
      <c r="BB6" s="1104" t="s">
        <v>93</v>
      </c>
      <c r="BC6" s="1308">
        <v>0.6875</v>
      </c>
      <c r="BD6" s="1534">
        <v>0</v>
      </c>
      <c r="BE6" s="1271">
        <v>0.6875</v>
      </c>
      <c r="BF6" s="1104">
        <v>0</v>
      </c>
      <c r="BG6" s="1695">
        <v>0.6875</v>
      </c>
      <c r="BH6" s="1695">
        <v>0</v>
      </c>
      <c r="BI6" s="1695">
        <v>0.6875</v>
      </c>
      <c r="BJ6" s="1695">
        <v>0</v>
      </c>
      <c r="BK6" s="1308">
        <v>0.6875</v>
      </c>
      <c r="BL6" s="1469">
        <v>0</v>
      </c>
      <c r="BM6" s="1226" t="s">
        <v>21</v>
      </c>
      <c r="BN6" s="1144" t="s">
        <v>19</v>
      </c>
      <c r="BO6" s="1458">
        <v>0.6875</v>
      </c>
      <c r="BP6" s="1929">
        <v>0</v>
      </c>
      <c r="BQ6" s="1930">
        <v>0.6875</v>
      </c>
      <c r="BR6" s="1930">
        <v>0</v>
      </c>
      <c r="BS6" s="1915">
        <v>0.79166666666666663</v>
      </c>
      <c r="BT6" s="1101">
        <v>8.3333333333333329E-2</v>
      </c>
      <c r="BU6" s="1104" t="s">
        <v>94</v>
      </c>
      <c r="BV6" s="1104" t="s">
        <v>94</v>
      </c>
      <c r="BW6" s="1104" t="s">
        <v>95</v>
      </c>
      <c r="BX6" s="1104" t="s">
        <v>95</v>
      </c>
      <c r="BY6" s="1695">
        <v>0.6875</v>
      </c>
      <c r="BZ6" s="1695">
        <v>0</v>
      </c>
      <c r="CA6" s="1308">
        <v>0.6875</v>
      </c>
      <c r="CB6" s="1469">
        <v>0</v>
      </c>
    </row>
    <row r="7" spans="1:80" x14ac:dyDescent="0.45">
      <c r="A7" s="1423" t="s">
        <v>21</v>
      </c>
      <c r="B7" s="1420" t="s">
        <v>19</v>
      </c>
      <c r="C7" s="1413">
        <v>0.6875</v>
      </c>
      <c r="D7" s="1005">
        <v>0</v>
      </c>
      <c r="E7" s="1005">
        <v>0.6875</v>
      </c>
      <c r="F7" s="1005">
        <v>0</v>
      </c>
      <c r="G7" s="1104" t="s">
        <v>95</v>
      </c>
      <c r="H7" s="1104" t="s">
        <v>95</v>
      </c>
      <c r="I7" s="1005">
        <v>0.75</v>
      </c>
      <c r="J7" s="1005">
        <v>4.1666666666666664E-2</v>
      </c>
      <c r="K7" s="1005">
        <v>0.6875</v>
      </c>
      <c r="L7" s="1005">
        <v>0</v>
      </c>
      <c r="M7" s="1005">
        <v>0.6875</v>
      </c>
      <c r="N7" s="1005">
        <v>0</v>
      </c>
      <c r="O7" s="1090">
        <v>0.6875</v>
      </c>
      <c r="P7" s="1327">
        <v>0</v>
      </c>
      <c r="Q7" s="1225" t="s">
        <v>18</v>
      </c>
      <c r="R7" s="1144" t="s">
        <v>19</v>
      </c>
      <c r="S7" s="1491" t="s">
        <v>90</v>
      </c>
      <c r="T7" s="1104" t="s">
        <v>90</v>
      </c>
      <c r="U7" s="1005">
        <v>0.6875</v>
      </c>
      <c r="V7" s="1005">
        <v>0</v>
      </c>
      <c r="W7" s="1092">
        <v>0.6875</v>
      </c>
      <c r="X7" s="1092">
        <v>0</v>
      </c>
      <c r="Y7" s="1005">
        <v>0.54166666666666663</v>
      </c>
      <c r="Z7" s="1135">
        <v>0.875</v>
      </c>
      <c r="AA7" s="1143">
        <v>0.58333333333333337</v>
      </c>
      <c r="AB7" s="1005">
        <v>0.90972222222222221</v>
      </c>
      <c r="AC7" s="1104" t="s">
        <v>91</v>
      </c>
      <c r="AD7" s="1104" t="s">
        <v>91</v>
      </c>
      <c r="AE7" s="1090">
        <v>0.64583333333333337</v>
      </c>
      <c r="AF7" s="1468">
        <v>0.96527777777777779</v>
      </c>
      <c r="AG7" s="1225" t="s">
        <v>18</v>
      </c>
      <c r="AH7" s="1547" t="s">
        <v>19</v>
      </c>
      <c r="AI7" s="1005">
        <v>0.5</v>
      </c>
      <c r="AJ7" s="1135">
        <v>0.83333333333333337</v>
      </c>
      <c r="AK7" s="1005">
        <v>0.5</v>
      </c>
      <c r="AL7" s="1135">
        <v>0.83333333333333337</v>
      </c>
      <c r="AM7" s="1005">
        <v>0.5</v>
      </c>
      <c r="AN7" s="1135">
        <v>0.83333333333333337</v>
      </c>
      <c r="AO7" s="1135">
        <v>0.5</v>
      </c>
      <c r="AP7" s="1135">
        <v>0.83333333333333337</v>
      </c>
      <c r="AQ7" s="1090">
        <v>0.6875</v>
      </c>
      <c r="AR7" s="1135">
        <v>0</v>
      </c>
      <c r="AS7" s="1005">
        <v>0.58333333333333337</v>
      </c>
      <c r="AT7" s="1005">
        <v>0.90972222222222221</v>
      </c>
      <c r="AU7" s="1104" t="s">
        <v>92</v>
      </c>
      <c r="AV7" s="1271" t="s">
        <v>92</v>
      </c>
      <c r="AW7" s="1225" t="s">
        <v>18</v>
      </c>
      <c r="AX7" s="1164" t="s">
        <v>19</v>
      </c>
      <c r="AY7" s="1239">
        <v>0.58333333333333337</v>
      </c>
      <c r="AZ7" s="1005">
        <v>0.90972222222222221</v>
      </c>
      <c r="BA7" s="1091">
        <v>0.58333333333333337</v>
      </c>
      <c r="BB7" s="1135">
        <v>0.90972222222222221</v>
      </c>
      <c r="BC7" s="1104" t="s">
        <v>93</v>
      </c>
      <c r="BD7" s="1104" t="s">
        <v>93</v>
      </c>
      <c r="BE7" s="1104" t="s">
        <v>94</v>
      </c>
      <c r="BF7" s="1104" t="s">
        <v>94</v>
      </c>
      <c r="BG7" s="1005">
        <v>0.6875</v>
      </c>
      <c r="BH7" s="1005">
        <v>0</v>
      </c>
      <c r="BI7" s="1005">
        <v>0.6875</v>
      </c>
      <c r="BJ7" s="1005">
        <v>0</v>
      </c>
      <c r="BK7" s="1542">
        <v>0.6875</v>
      </c>
      <c r="BL7" s="1407">
        <v>0</v>
      </c>
      <c r="BM7" s="1225" t="s">
        <v>18</v>
      </c>
      <c r="BN7" s="1144" t="s">
        <v>19</v>
      </c>
      <c r="BO7" s="1239">
        <v>0.54166666666666663</v>
      </c>
      <c r="BP7" s="1135">
        <v>0.875</v>
      </c>
      <c r="BQ7" s="1407">
        <v>0.54166666666666663</v>
      </c>
      <c r="BR7" s="1527">
        <v>0.875</v>
      </c>
      <c r="BS7" s="1104" t="s">
        <v>95</v>
      </c>
      <c r="BT7" s="1104" t="s">
        <v>95</v>
      </c>
      <c r="BU7" s="1005">
        <v>0.54166666666666663</v>
      </c>
      <c r="BV7" s="1005">
        <v>0.875</v>
      </c>
      <c r="BW7" s="1307">
        <v>0.52083333333333337</v>
      </c>
      <c r="BX7" s="1924">
        <v>0.85416666666666663</v>
      </c>
      <c r="BY7" s="1005">
        <v>0.52083333333333337</v>
      </c>
      <c r="BZ7" s="1005">
        <v>0.85416666666666663</v>
      </c>
      <c r="CA7" s="1005">
        <v>0.52083333333333337</v>
      </c>
      <c r="CB7" s="1468">
        <v>0.85416666666666663</v>
      </c>
    </row>
    <row r="8" spans="1:80" x14ac:dyDescent="0.45">
      <c r="A8" s="1422" t="s">
        <v>18</v>
      </c>
      <c r="B8" s="1420" t="s">
        <v>19</v>
      </c>
      <c r="C8" s="1413">
        <v>0.64583333333333337</v>
      </c>
      <c r="D8" s="1005">
        <v>0.96527777777777779</v>
      </c>
      <c r="E8" s="1090">
        <v>0.64583333333333337</v>
      </c>
      <c r="F8" s="1090">
        <v>0.96527777777777779</v>
      </c>
      <c r="G8" s="1104" t="s">
        <v>95</v>
      </c>
      <c r="H8" s="1104" t="s">
        <v>95</v>
      </c>
      <c r="I8" s="1005">
        <v>0.54166666666666663</v>
      </c>
      <c r="J8" s="1005">
        <v>0.875</v>
      </c>
      <c r="K8" s="1005">
        <v>0.64583333333333337</v>
      </c>
      <c r="L8" s="1005">
        <v>0.96527777777777779</v>
      </c>
      <c r="M8" s="1005">
        <v>0.64583333333333337</v>
      </c>
      <c r="N8" s="1005">
        <v>0.96527777777777779</v>
      </c>
      <c r="O8" s="1005">
        <v>0.64583333333333337</v>
      </c>
      <c r="P8" s="1327">
        <v>0.96527777777777779</v>
      </c>
      <c r="Q8" s="1463" t="s">
        <v>97</v>
      </c>
      <c r="R8" s="1144" t="s">
        <v>19</v>
      </c>
      <c r="S8" s="1492">
        <v>0.66666666666666663</v>
      </c>
      <c r="T8" s="1269">
        <v>0.97916666666666663</v>
      </c>
      <c r="U8" s="1104" t="s">
        <v>90</v>
      </c>
      <c r="V8" s="1104" t="s">
        <v>90</v>
      </c>
      <c r="W8" s="1269">
        <v>0.375</v>
      </c>
      <c r="X8" s="1269">
        <v>0.70833333333333337</v>
      </c>
      <c r="Y8" s="1104" t="s">
        <v>91</v>
      </c>
      <c r="Z8" s="1271" t="s">
        <v>91</v>
      </c>
      <c r="AA8" s="1492">
        <v>0.375</v>
      </c>
      <c r="AB8" s="1269">
        <v>0.70833333333333337</v>
      </c>
      <c r="AC8" s="1269">
        <v>0.66666666666666663</v>
      </c>
      <c r="AD8" s="1269">
        <v>0.97916666666666663</v>
      </c>
      <c r="AE8" s="1269">
        <v>0.66666666666666663</v>
      </c>
      <c r="AF8" s="1470">
        <v>0.97916666666666663</v>
      </c>
      <c r="AG8" s="1463" t="s">
        <v>97</v>
      </c>
      <c r="AH8" s="1164" t="s">
        <v>19</v>
      </c>
      <c r="AI8" s="1539">
        <v>0.66666666666666663</v>
      </c>
      <c r="AJ8" s="1270">
        <v>0.97916666666666663</v>
      </c>
      <c r="AK8" s="1269">
        <v>0.66666666666666663</v>
      </c>
      <c r="AL8" s="1269">
        <v>0.97916666666666663</v>
      </c>
      <c r="AM8" s="1539">
        <v>0.66666666666666663</v>
      </c>
      <c r="AN8" s="1270">
        <v>0.97916666666666663</v>
      </c>
      <c r="AO8" s="1269">
        <v>0.66666666666666663</v>
      </c>
      <c r="AP8" s="1270">
        <v>0.97916666666666663</v>
      </c>
      <c r="AQ8" s="1104" t="s">
        <v>92</v>
      </c>
      <c r="AR8" s="1271" t="s">
        <v>92</v>
      </c>
      <c r="AS8" s="1269">
        <v>0.66666666666666663</v>
      </c>
      <c r="AT8" s="1269">
        <v>0.97916666666666663</v>
      </c>
      <c r="AU8" s="1539">
        <v>0.66666666666666663</v>
      </c>
      <c r="AV8" s="1470">
        <v>0.97916666666666663</v>
      </c>
      <c r="AW8" s="1463" t="s">
        <v>97</v>
      </c>
      <c r="AX8" s="1164" t="s">
        <v>19</v>
      </c>
      <c r="AY8" s="1104" t="s">
        <v>93</v>
      </c>
      <c r="AZ8" s="1104" t="s">
        <v>93</v>
      </c>
      <c r="BA8" s="1104" t="s">
        <v>94</v>
      </c>
      <c r="BB8" s="1104" t="s">
        <v>94</v>
      </c>
      <c r="BC8" s="1539">
        <v>0.66666666666666663</v>
      </c>
      <c r="BD8" s="1269">
        <v>0.97916666666666663</v>
      </c>
      <c r="BE8" s="1903">
        <v>0.66666666666666663</v>
      </c>
      <c r="BF8" s="1104">
        <v>0.97916666666666663</v>
      </c>
      <c r="BG8" s="1539">
        <v>0.66666666666666663</v>
      </c>
      <c r="BH8" s="1269">
        <v>0.97916666666666663</v>
      </c>
      <c r="BI8" s="1539">
        <v>0.66666666666666663</v>
      </c>
      <c r="BJ8" s="1269">
        <v>0.97916666666666663</v>
      </c>
      <c r="BK8" s="1539">
        <v>0.66666666666666663</v>
      </c>
      <c r="BL8" s="1269">
        <v>0.97916666666666663</v>
      </c>
      <c r="BM8" s="1463" t="s">
        <v>97</v>
      </c>
      <c r="BN8" s="1144" t="s">
        <v>19</v>
      </c>
      <c r="BO8" s="1492">
        <v>0.66666666666666663</v>
      </c>
      <c r="BP8" s="1269">
        <v>0.97916666666666663</v>
      </c>
      <c r="BQ8" s="1539">
        <v>0.66666666666666663</v>
      </c>
      <c r="BR8" s="1269">
        <v>0.97916666666666663</v>
      </c>
      <c r="BS8" s="1539">
        <v>0.66666666666666663</v>
      </c>
      <c r="BT8" s="1269">
        <v>0.97916666666666663</v>
      </c>
      <c r="BU8" s="1104" t="s">
        <v>95</v>
      </c>
      <c r="BV8" s="1104" t="s">
        <v>95</v>
      </c>
      <c r="BW8" s="1539">
        <v>0.33333333333333331</v>
      </c>
      <c r="BX8" s="1269">
        <v>0.66666666666666663</v>
      </c>
      <c r="BY8" s="1539">
        <v>0.66666666666666663</v>
      </c>
      <c r="BZ8" s="1269">
        <v>0.97916666666666663</v>
      </c>
      <c r="CA8" s="1539">
        <v>0.66666666666666663</v>
      </c>
      <c r="CB8" s="1470">
        <v>0.97916666666666663</v>
      </c>
    </row>
    <row r="9" spans="1:80" x14ac:dyDescent="0.45">
      <c r="A9" s="1424" t="s">
        <v>97</v>
      </c>
      <c r="B9" s="1420" t="s">
        <v>19</v>
      </c>
      <c r="C9" s="1414">
        <v>0.66666666666666663</v>
      </c>
      <c r="D9" s="1270">
        <v>0.97916666666666663</v>
      </c>
      <c r="E9" s="1269">
        <v>0.66666666666666663</v>
      </c>
      <c r="F9" s="1270">
        <v>0.97916666666666663</v>
      </c>
      <c r="G9" s="1104" t="s">
        <v>95</v>
      </c>
      <c r="H9" s="1104" t="s">
        <v>95</v>
      </c>
      <c r="I9" s="1269">
        <v>0.375</v>
      </c>
      <c r="J9" s="1269">
        <v>0.70833333333333337</v>
      </c>
      <c r="K9" s="1269">
        <v>0.66666666666666663</v>
      </c>
      <c r="L9" s="1270">
        <v>0.97916666666666663</v>
      </c>
      <c r="M9" s="1269">
        <v>0.66666666666666663</v>
      </c>
      <c r="N9" s="1270">
        <v>0.97916666666666663</v>
      </c>
      <c r="O9" s="1269">
        <v>0.66666666666666663</v>
      </c>
      <c r="P9" s="1329">
        <v>0.97916666666666663</v>
      </c>
      <c r="Q9" s="1227" t="s">
        <v>98</v>
      </c>
      <c r="R9" s="1144" t="s">
        <v>19</v>
      </c>
      <c r="S9" s="1491" t="s">
        <v>90</v>
      </c>
      <c r="T9" s="1104" t="s">
        <v>90</v>
      </c>
      <c r="U9" s="1262">
        <v>0.45833333333333331</v>
      </c>
      <c r="V9" s="1261">
        <v>0.79166666666666663</v>
      </c>
      <c r="W9" s="1101">
        <v>0.79166666666666663</v>
      </c>
      <c r="X9" s="1101">
        <v>8.3333333333333329E-2</v>
      </c>
      <c r="Y9" s="1104" t="s">
        <v>99</v>
      </c>
      <c r="Z9" s="1271" t="s">
        <v>99</v>
      </c>
      <c r="AA9" s="1492">
        <v>0.375</v>
      </c>
      <c r="AB9" s="1269">
        <v>0.70833333333333337</v>
      </c>
      <c r="AC9" s="1005">
        <v>0.58333333333333337</v>
      </c>
      <c r="AD9" s="1005">
        <v>0.90972222222222221</v>
      </c>
      <c r="AE9" s="1005">
        <v>0.58333333333333337</v>
      </c>
      <c r="AF9" s="1468">
        <v>0.90972222222222221</v>
      </c>
      <c r="AG9" s="1227" t="s">
        <v>98</v>
      </c>
      <c r="AH9" s="1144" t="s">
        <v>19</v>
      </c>
      <c r="AI9" s="1005">
        <v>0.4375</v>
      </c>
      <c r="AJ9" s="1005">
        <v>0.77083333333333337</v>
      </c>
      <c r="AK9" s="1005">
        <v>0.4375</v>
      </c>
      <c r="AL9" s="1005">
        <v>0.77083333333333337</v>
      </c>
      <c r="AM9" s="1005">
        <v>0.4375</v>
      </c>
      <c r="AN9" s="1005">
        <v>0.77083333333333337</v>
      </c>
      <c r="AO9" s="1538">
        <v>0.375</v>
      </c>
      <c r="AP9" s="1540">
        <v>0.70833333333333337</v>
      </c>
      <c r="AQ9" s="1104" t="s">
        <v>91</v>
      </c>
      <c r="AR9" s="1104" t="s">
        <v>91</v>
      </c>
      <c r="AS9" s="1005">
        <v>0.6875</v>
      </c>
      <c r="AT9" s="1005">
        <v>0</v>
      </c>
      <c r="AU9" s="1005">
        <v>0.58333333333333337</v>
      </c>
      <c r="AV9" s="1468">
        <v>0.90972222222222221</v>
      </c>
      <c r="AW9" s="1227" t="s">
        <v>98</v>
      </c>
      <c r="AX9" s="1164" t="s">
        <v>19</v>
      </c>
      <c r="AY9" s="1091">
        <v>0.45833333333333331</v>
      </c>
      <c r="AZ9" s="1005">
        <v>0.79166666666666663</v>
      </c>
      <c r="BA9" s="1269">
        <v>0.375</v>
      </c>
      <c r="BB9" s="1269">
        <v>0.70833333333333337</v>
      </c>
      <c r="BC9" s="1104" t="s">
        <v>92</v>
      </c>
      <c r="BD9" s="1104" t="s">
        <v>92</v>
      </c>
      <c r="BE9" s="1104" t="s">
        <v>93</v>
      </c>
      <c r="BF9" s="1104" t="s">
        <v>93</v>
      </c>
      <c r="BG9" s="1005">
        <v>0.4375</v>
      </c>
      <c r="BH9" s="1005">
        <v>0.77083333333333337</v>
      </c>
      <c r="BI9" s="1005">
        <v>0.4375</v>
      </c>
      <c r="BJ9" s="1005">
        <v>0.77083333333333337</v>
      </c>
      <c r="BK9" s="1005">
        <v>0.4375</v>
      </c>
      <c r="BL9" s="1005">
        <v>0.77083333333333337</v>
      </c>
      <c r="BM9" s="1227" t="s">
        <v>98</v>
      </c>
      <c r="BN9" s="1144" t="s">
        <v>19</v>
      </c>
      <c r="BO9" s="1491" t="s">
        <v>94</v>
      </c>
      <c r="BP9" s="1104" t="s">
        <v>94</v>
      </c>
      <c r="BQ9" s="1104" t="s">
        <v>95</v>
      </c>
      <c r="BR9" s="1104" t="s">
        <v>95</v>
      </c>
      <c r="BS9" s="1005">
        <v>0.41666666666666669</v>
      </c>
      <c r="BT9" s="1005">
        <v>0.75</v>
      </c>
      <c r="BU9" s="1539">
        <v>0.375</v>
      </c>
      <c r="BV9" s="1270">
        <v>0.70833333333333337</v>
      </c>
      <c r="BW9" s="1005">
        <v>0.41666666666666669</v>
      </c>
      <c r="BX9" s="1005">
        <v>0.75</v>
      </c>
      <c r="BY9" s="1005">
        <v>0.41666666666666669</v>
      </c>
      <c r="BZ9" s="1005">
        <v>0.75</v>
      </c>
      <c r="CA9" s="1005">
        <v>0.41666666666666669</v>
      </c>
      <c r="CB9" s="1468">
        <v>0.75</v>
      </c>
    </row>
    <row r="10" spans="1:80" ht="29.25" thickBot="1" x14ac:dyDescent="0.5">
      <c r="A10" s="1425" t="s">
        <v>98</v>
      </c>
      <c r="B10" s="1420" t="s">
        <v>19</v>
      </c>
      <c r="C10" s="1415" t="s">
        <v>95</v>
      </c>
      <c r="D10" s="1104" t="s">
        <v>95</v>
      </c>
      <c r="E10" s="1005">
        <v>0.75</v>
      </c>
      <c r="F10" s="1005">
        <v>4.1666666666666664E-2</v>
      </c>
      <c r="G10" s="1269">
        <v>0.66666666666666663</v>
      </c>
      <c r="H10" s="1270">
        <v>0.97916666666666663</v>
      </c>
      <c r="I10" s="1269">
        <v>0.66666666666666663</v>
      </c>
      <c r="J10" s="1270">
        <v>0.97916666666666663</v>
      </c>
      <c r="K10" s="1090">
        <v>0.58333333333333337</v>
      </c>
      <c r="L10" s="1090">
        <v>0.90972222222222221</v>
      </c>
      <c r="M10" s="1090">
        <v>0.58333333333333337</v>
      </c>
      <c r="N10" s="1090">
        <v>0.90972222222222221</v>
      </c>
      <c r="O10" s="1090">
        <v>0.58333333333333337</v>
      </c>
      <c r="P10" s="1402">
        <v>0.90972222222222221</v>
      </c>
      <c r="Q10" s="1471" t="s">
        <v>100</v>
      </c>
      <c r="R10" s="1240" t="s">
        <v>19</v>
      </c>
      <c r="S10" s="1239">
        <v>0.45833333333333331</v>
      </c>
      <c r="T10" s="1005">
        <v>0.75</v>
      </c>
      <c r="U10" s="1005">
        <v>0.45833333333333331</v>
      </c>
      <c r="V10" s="1005">
        <v>0.75</v>
      </c>
      <c r="W10" s="1104" t="s">
        <v>90</v>
      </c>
      <c r="X10" s="1104" t="s">
        <v>90</v>
      </c>
      <c r="Y10" s="1104" t="s">
        <v>91</v>
      </c>
      <c r="Z10" s="1271" t="s">
        <v>91</v>
      </c>
      <c r="AA10" s="1239">
        <v>0.45833333333333331</v>
      </c>
      <c r="AB10" s="1005">
        <v>0.75</v>
      </c>
      <c r="AC10" s="1005">
        <v>0.45833333333333331</v>
      </c>
      <c r="AD10" s="1005">
        <v>0.75</v>
      </c>
      <c r="AE10" s="1005">
        <v>0.45833333333333331</v>
      </c>
      <c r="AF10" s="1468">
        <v>0.75</v>
      </c>
      <c r="AG10" s="1471" t="s">
        <v>100</v>
      </c>
      <c r="AH10" s="1144" t="s">
        <v>19</v>
      </c>
      <c r="AI10" s="1005">
        <v>0.375</v>
      </c>
      <c r="AJ10" s="1005">
        <v>0.66666666666666663</v>
      </c>
      <c r="AK10" s="1005">
        <v>0.375</v>
      </c>
      <c r="AL10" s="1005">
        <v>0.66666666666666663</v>
      </c>
      <c r="AM10" s="1005">
        <v>0.375</v>
      </c>
      <c r="AN10" s="1005">
        <v>0.66666666666666663</v>
      </c>
      <c r="AO10" s="1135">
        <v>0.375</v>
      </c>
      <c r="AP10" s="1135">
        <v>0.66666666666666663</v>
      </c>
      <c r="AQ10" s="1104" t="s">
        <v>92</v>
      </c>
      <c r="AR10" s="1104" t="s">
        <v>92</v>
      </c>
      <c r="AS10" s="1005">
        <v>0.45833333333333331</v>
      </c>
      <c r="AT10" s="1005">
        <v>0.75</v>
      </c>
      <c r="AU10" s="1005">
        <v>0.45833333333333331</v>
      </c>
      <c r="AV10" s="1005">
        <v>0.75</v>
      </c>
      <c r="AW10" s="1471" t="s">
        <v>100</v>
      </c>
      <c r="AX10" s="1164" t="s">
        <v>19</v>
      </c>
      <c r="AY10" s="1104" t="s">
        <v>93</v>
      </c>
      <c r="AZ10" s="1104" t="s">
        <v>93</v>
      </c>
      <c r="BA10" s="1005">
        <v>0.45833333333333331</v>
      </c>
      <c r="BB10" s="1005">
        <v>0.79166666666666663</v>
      </c>
      <c r="BC10" s="1005">
        <v>0.375</v>
      </c>
      <c r="BD10" s="1005">
        <v>0.66666666666666663</v>
      </c>
      <c r="BE10" s="1104">
        <v>0.375</v>
      </c>
      <c r="BF10" s="1104">
        <v>0.66666666666666663</v>
      </c>
      <c r="BG10" s="1005">
        <v>0.375</v>
      </c>
      <c r="BH10" s="1005">
        <v>0.66666666666666663</v>
      </c>
      <c r="BI10" s="1005">
        <v>0.375</v>
      </c>
      <c r="BJ10" s="1005">
        <v>0.66666666666666663</v>
      </c>
      <c r="BK10" s="1005">
        <v>0.375</v>
      </c>
      <c r="BL10" s="1005">
        <v>0.66666666666666663</v>
      </c>
      <c r="BM10" s="1471" t="s">
        <v>100</v>
      </c>
      <c r="BN10" s="1144" t="s">
        <v>19</v>
      </c>
      <c r="BO10" s="1239">
        <v>0.375</v>
      </c>
      <c r="BP10" s="1005">
        <v>0.66666666666666663</v>
      </c>
      <c r="BQ10" s="1005">
        <v>0.375</v>
      </c>
      <c r="BR10" s="1005">
        <v>0.66666666666666663</v>
      </c>
      <c r="BS10" s="1104" t="s">
        <v>94</v>
      </c>
      <c r="BT10" s="1104" t="s">
        <v>94</v>
      </c>
      <c r="BU10" s="1104" t="s">
        <v>95</v>
      </c>
      <c r="BV10" s="1104" t="s">
        <v>95</v>
      </c>
      <c r="BW10" s="1005">
        <v>0.375</v>
      </c>
      <c r="BX10" s="1005">
        <v>0.66666666666666663</v>
      </c>
      <c r="BY10" s="1005">
        <v>0.375</v>
      </c>
      <c r="BZ10" s="1005">
        <v>0.66666666666666663</v>
      </c>
      <c r="CA10" s="1005">
        <v>0.375</v>
      </c>
      <c r="CB10" s="1468">
        <v>0.66666666666666663</v>
      </c>
    </row>
    <row r="11" spans="1:80" ht="29.25" thickBot="1" x14ac:dyDescent="0.5">
      <c r="A11" s="1426" t="s">
        <v>100</v>
      </c>
      <c r="B11" s="1420" t="s">
        <v>19</v>
      </c>
      <c r="C11" s="1416">
        <v>0.45833333333333331</v>
      </c>
      <c r="D11" s="1330">
        <v>0.75</v>
      </c>
      <c r="E11" s="1331" t="s">
        <v>95</v>
      </c>
      <c r="F11" s="1331" t="s">
        <v>95</v>
      </c>
      <c r="G11" s="1417">
        <v>0.375</v>
      </c>
      <c r="H11" s="1417">
        <v>0.66666666666666663</v>
      </c>
      <c r="I11" s="1330">
        <v>0.375</v>
      </c>
      <c r="J11" s="1330">
        <v>0.66666666666666663</v>
      </c>
      <c r="K11" s="1330">
        <v>0.45833333333333331</v>
      </c>
      <c r="L11" s="1330">
        <v>0.75</v>
      </c>
      <c r="M11" s="1330">
        <v>0.45833333333333331</v>
      </c>
      <c r="N11" s="1330">
        <v>0.75</v>
      </c>
      <c r="O11" s="1330">
        <v>0.45833333333333331</v>
      </c>
      <c r="P11" s="1418">
        <v>0.75</v>
      </c>
      <c r="Q11" s="1472" t="s">
        <v>101</v>
      </c>
      <c r="R11" s="1486" t="s">
        <v>19</v>
      </c>
      <c r="S11" s="1143">
        <v>0.66666666666666663</v>
      </c>
      <c r="T11" s="1090">
        <v>0.97916666666666663</v>
      </c>
      <c r="U11" s="1005">
        <v>0.70833333333333337</v>
      </c>
      <c r="V11" s="1005">
        <v>1.3888888888888888E-2</v>
      </c>
      <c r="W11" s="1269">
        <v>0.66666666666666663</v>
      </c>
      <c r="X11" s="1269">
        <v>0.97916666666666663</v>
      </c>
      <c r="Y11" s="1269">
        <v>0.66666666666666663</v>
      </c>
      <c r="Z11" s="1270">
        <v>0.97916666666666663</v>
      </c>
      <c r="AA11" s="1210" t="s">
        <v>90</v>
      </c>
      <c r="AB11" s="1104" t="s">
        <v>90</v>
      </c>
      <c r="AC11" s="1145" t="s">
        <v>91</v>
      </c>
      <c r="AD11" s="1104" t="s">
        <v>91</v>
      </c>
      <c r="AE11" s="1090">
        <v>0.6875</v>
      </c>
      <c r="AF11" s="1468">
        <v>1</v>
      </c>
      <c r="AG11" s="1472" t="s">
        <v>101</v>
      </c>
      <c r="AH11" s="1486" t="s">
        <v>19</v>
      </c>
      <c r="AI11" s="1143">
        <v>0.54166666666666663</v>
      </c>
      <c r="AJ11" s="1090">
        <v>0.875</v>
      </c>
      <c r="AK11" s="1005">
        <v>0.54166666666666663</v>
      </c>
      <c r="AL11" s="1005">
        <v>0.875</v>
      </c>
      <c r="AM11" s="1104" t="s">
        <v>92</v>
      </c>
      <c r="AN11" s="1271" t="s">
        <v>92</v>
      </c>
      <c r="AO11" s="1308">
        <v>0.58333333333333337</v>
      </c>
      <c r="AP11" s="1534">
        <v>0.90972222222222221</v>
      </c>
      <c r="AQ11" s="1090">
        <v>0.58333333333333337</v>
      </c>
      <c r="AR11" s="1005">
        <v>0.90972222222222221</v>
      </c>
      <c r="AS11" s="1090">
        <v>0.67708333333333337</v>
      </c>
      <c r="AT11" s="1005">
        <v>0.98958333333333337</v>
      </c>
      <c r="AU11" s="1090">
        <v>0.67708333333333337</v>
      </c>
      <c r="AV11" s="1468">
        <v>0.98958333333333337</v>
      </c>
      <c r="AW11" s="1472" t="s">
        <v>101</v>
      </c>
      <c r="AX11" s="1144" t="s">
        <v>19</v>
      </c>
      <c r="AY11" s="1143">
        <v>0.54166666666666663</v>
      </c>
      <c r="AZ11" s="1090">
        <v>0.875</v>
      </c>
      <c r="BA11" s="1005">
        <v>0.54166666666666663</v>
      </c>
      <c r="BB11" s="1005">
        <v>0.875</v>
      </c>
      <c r="BC11" s="1539">
        <v>0.375</v>
      </c>
      <c r="BD11" s="1270">
        <v>0.70833333333333337</v>
      </c>
      <c r="BE11" s="1104" t="s">
        <v>93</v>
      </c>
      <c r="BF11" s="1104" t="s">
        <v>93</v>
      </c>
      <c r="BG11" s="1091">
        <v>0.66666666666666663</v>
      </c>
      <c r="BH11" s="1005">
        <v>0.97916666666666663</v>
      </c>
      <c r="BI11" s="1816">
        <v>0.52083333333333337</v>
      </c>
      <c r="BJ11" s="1819">
        <v>0.85416666666666663</v>
      </c>
      <c r="BK11" s="1005">
        <v>0.52083333333333337</v>
      </c>
      <c r="BL11" s="1005">
        <v>0.85416666666666663</v>
      </c>
      <c r="BM11" s="1472" t="s">
        <v>101</v>
      </c>
      <c r="BN11" s="1144" t="s">
        <v>19</v>
      </c>
      <c r="BO11" s="1143">
        <v>0.625</v>
      </c>
      <c r="BP11" s="1090">
        <v>0.94444444444444442</v>
      </c>
      <c r="BQ11" s="1104" t="s">
        <v>94</v>
      </c>
      <c r="BR11" s="1104" t="s">
        <v>94</v>
      </c>
      <c r="BS11" s="1101">
        <v>0.79166666666666663</v>
      </c>
      <c r="BT11" s="1101">
        <v>8.3333333333333329E-2</v>
      </c>
      <c r="BU11" s="1539">
        <v>0.66666666666666663</v>
      </c>
      <c r="BV11" s="1269">
        <v>0.97916666666666663</v>
      </c>
      <c r="BW11" s="1090">
        <v>0.6875</v>
      </c>
      <c r="BX11" s="1005">
        <v>0</v>
      </c>
      <c r="BY11" s="1090">
        <v>0.6875</v>
      </c>
      <c r="BZ11" s="1005">
        <v>0</v>
      </c>
      <c r="CA11" s="1005">
        <v>0.6875</v>
      </c>
      <c r="CB11" s="1468">
        <v>0</v>
      </c>
    </row>
    <row r="12" spans="1:80" ht="29.25" thickBot="1" x14ac:dyDescent="0.5">
      <c r="A12" s="1403" t="s">
        <v>102</v>
      </c>
      <c r="B12" s="1431" t="s">
        <v>38</v>
      </c>
      <c r="C12" s="1435">
        <v>0.66666666666666663</v>
      </c>
      <c r="D12" s="1409">
        <v>0.97916666666666663</v>
      </c>
      <c r="E12" s="1405"/>
      <c r="F12" s="1405"/>
      <c r="G12" s="1406">
        <v>0.54166666666666663</v>
      </c>
      <c r="H12" s="1406">
        <v>0.875</v>
      </c>
      <c r="I12" s="1407">
        <v>0.54166666666666663</v>
      </c>
      <c r="J12" s="1407">
        <v>0.875</v>
      </c>
      <c r="K12" s="1405"/>
      <c r="L12" s="1408"/>
      <c r="M12" s="1405"/>
      <c r="N12" s="1408"/>
      <c r="O12" s="1409">
        <v>0.72916666666666663</v>
      </c>
      <c r="P12" s="1410">
        <v>0</v>
      </c>
      <c r="Q12" s="1473" t="s">
        <v>103</v>
      </c>
      <c r="R12" s="1474" t="s">
        <v>19</v>
      </c>
      <c r="S12" s="1507">
        <v>0.6875</v>
      </c>
      <c r="T12" s="1122">
        <v>1</v>
      </c>
      <c r="U12" s="1122">
        <v>0.58333333333333337</v>
      </c>
      <c r="V12" s="1122">
        <v>0.90972222222222221</v>
      </c>
      <c r="W12" s="1123">
        <v>0.4375</v>
      </c>
      <c r="X12" s="1123">
        <v>0.77083333333333337</v>
      </c>
      <c r="Y12" s="1123">
        <v>0.4375</v>
      </c>
      <c r="Z12" s="1136">
        <v>0.77083333333333337</v>
      </c>
      <c r="AA12" s="1475">
        <v>0.6875</v>
      </c>
      <c r="AB12" s="1477">
        <v>0</v>
      </c>
      <c r="AC12" s="1478" t="s">
        <v>90</v>
      </c>
      <c r="AD12" s="1479" t="s">
        <v>90</v>
      </c>
      <c r="AE12" s="1478" t="s">
        <v>91</v>
      </c>
      <c r="AF12" s="1480" t="s">
        <v>91</v>
      </c>
      <c r="AG12" s="1473" t="s">
        <v>103</v>
      </c>
      <c r="AH12" s="1474" t="s">
        <v>19</v>
      </c>
      <c r="AI12" s="1535">
        <v>0.54166666666666663</v>
      </c>
      <c r="AJ12" s="1536">
        <v>0.875</v>
      </c>
      <c r="AK12" s="1536">
        <v>0.54166666666666663</v>
      </c>
      <c r="AL12" s="1536">
        <v>0.875</v>
      </c>
      <c r="AM12" s="1526">
        <v>0.45833333333333331</v>
      </c>
      <c r="AN12" s="1526">
        <v>0.79166666666666663</v>
      </c>
      <c r="AO12" s="1528">
        <v>0.4375</v>
      </c>
      <c r="AP12" s="1528">
        <v>0.77083333333333337</v>
      </c>
      <c r="AQ12" s="1541">
        <v>0.45833333333333331</v>
      </c>
      <c r="AR12" s="1541">
        <v>0.75</v>
      </c>
      <c r="AS12" s="1530" t="s">
        <v>92</v>
      </c>
      <c r="AT12" s="1531" t="s">
        <v>92</v>
      </c>
      <c r="AU12" s="1526">
        <v>0.6875</v>
      </c>
      <c r="AV12" s="1658">
        <v>0</v>
      </c>
      <c r="AW12" s="1905" t="s">
        <v>103</v>
      </c>
      <c r="AX12" s="1144" t="s">
        <v>19</v>
      </c>
      <c r="AY12" s="1815">
        <v>0.66666666666666663</v>
      </c>
      <c r="AZ12" s="1816">
        <v>0.97916666666666663</v>
      </c>
      <c r="BA12" s="1817">
        <v>0.75</v>
      </c>
      <c r="BB12" s="1817">
        <v>4.1666666666666664E-2</v>
      </c>
      <c r="BC12" s="1829">
        <v>0.54166666666666663</v>
      </c>
      <c r="BD12" s="1830">
        <v>0.875</v>
      </c>
      <c r="BE12" s="1818" t="s">
        <v>93</v>
      </c>
      <c r="BF12" s="1818" t="s">
        <v>93</v>
      </c>
      <c r="BG12" s="1829">
        <v>0.54166666666666663</v>
      </c>
      <c r="BH12" s="1830">
        <v>0.875</v>
      </c>
      <c r="BI12" s="1829">
        <v>0.54166666666666663</v>
      </c>
      <c r="BJ12" s="1830">
        <v>0.875</v>
      </c>
      <c r="BK12" s="1308">
        <v>0.54166666666666663</v>
      </c>
      <c r="BL12" s="1308">
        <v>0.875</v>
      </c>
      <c r="BM12" s="1905" t="s">
        <v>103</v>
      </c>
      <c r="BN12" s="1144" t="s">
        <v>19</v>
      </c>
      <c r="BO12" s="1491" t="s">
        <v>94</v>
      </c>
      <c r="BP12" s="1104" t="s">
        <v>94</v>
      </c>
      <c r="BQ12" s="1090">
        <v>0.625</v>
      </c>
      <c r="BR12" s="1090">
        <v>0.94444444444444442</v>
      </c>
      <c r="BS12" s="1101">
        <v>0.8125</v>
      </c>
      <c r="BT12" s="1101">
        <v>0.10416666666666667</v>
      </c>
      <c r="BU12" s="1135">
        <v>0.70833333333333337</v>
      </c>
      <c r="BV12" s="1135">
        <v>1.3888888888888888E-2</v>
      </c>
      <c r="BW12" s="1005">
        <v>0.54166666666666663</v>
      </c>
      <c r="BX12" s="1005">
        <v>0.875</v>
      </c>
      <c r="BY12" s="1091">
        <v>0.54166666666666663</v>
      </c>
      <c r="BZ12" s="1135">
        <v>0.875</v>
      </c>
      <c r="CA12" s="1005">
        <v>0.54166666666666663</v>
      </c>
      <c r="CB12" s="1468">
        <v>0.875</v>
      </c>
    </row>
    <row r="13" spans="1:80" x14ac:dyDescent="0.45">
      <c r="A13" s="1403"/>
      <c r="B13" s="1432"/>
      <c r="C13" s="1435"/>
      <c r="D13" s="1409"/>
      <c r="E13" s="1405"/>
      <c r="F13" s="1405"/>
      <c r="G13" s="1406"/>
      <c r="H13" s="1406"/>
      <c r="I13" s="1407"/>
      <c r="J13" s="1407"/>
      <c r="K13" s="1405"/>
      <c r="L13" s="1408"/>
      <c r="M13" s="1405"/>
      <c r="N13" s="1408"/>
      <c r="O13" s="1409"/>
      <c r="P13" s="1410"/>
      <c r="Q13" s="1811"/>
      <c r="R13" s="1810"/>
      <c r="S13" s="1812"/>
      <c r="T13" s="1797"/>
      <c r="U13" s="1797"/>
      <c r="V13" s="1797"/>
      <c r="W13" s="1808"/>
      <c r="X13" s="1808"/>
      <c r="Y13" s="1808"/>
      <c r="Z13" s="1654"/>
      <c r="AA13" s="1796"/>
      <c r="AB13" s="1808"/>
      <c r="AC13" s="1802"/>
      <c r="AD13" s="1809"/>
      <c r="AE13" s="1802"/>
      <c r="AF13" s="1544"/>
      <c r="AG13" s="1811"/>
      <c r="AH13" s="1810"/>
      <c r="AI13" s="1813"/>
      <c r="AJ13" s="1814"/>
      <c r="AK13" s="1814"/>
      <c r="AL13" s="1814"/>
      <c r="AM13" s="1123"/>
      <c r="AN13" s="1123"/>
      <c r="AO13" s="1654"/>
      <c r="AP13" s="1654"/>
      <c r="AQ13" s="1807"/>
      <c r="AR13" s="1808"/>
      <c r="AS13" s="1809"/>
      <c r="AT13" s="1544"/>
      <c r="AU13" s="1808"/>
      <c r="AV13" s="1654"/>
      <c r="AW13" s="1905" t="s">
        <v>281</v>
      </c>
      <c r="AX13" s="1144" t="s">
        <v>19</v>
      </c>
      <c r="AY13" s="1826"/>
      <c r="AZ13" s="1827"/>
      <c r="BA13" s="1828">
        <v>0.5</v>
      </c>
      <c r="BB13" s="1828">
        <v>0.83333333333333337</v>
      </c>
      <c r="BC13" s="1816">
        <v>0.41666666666666669</v>
      </c>
      <c r="BD13" s="1816">
        <v>0.75</v>
      </c>
      <c r="BE13" s="1104" t="s">
        <v>90</v>
      </c>
      <c r="BF13" s="1104" t="s">
        <v>90</v>
      </c>
      <c r="BG13" s="1816">
        <v>0.4375</v>
      </c>
      <c r="BH13" s="1819">
        <v>0.77083333333333337</v>
      </c>
      <c r="BI13" s="1816">
        <v>0.4375</v>
      </c>
      <c r="BJ13" s="1819">
        <v>0.77083333333333337</v>
      </c>
      <c r="BK13" s="1005">
        <v>0.4375</v>
      </c>
      <c r="BL13" s="1005">
        <v>0.77083333333333337</v>
      </c>
      <c r="BM13" s="1905" t="s">
        <v>281</v>
      </c>
      <c r="BN13" s="1144" t="s">
        <v>19</v>
      </c>
      <c r="BO13" s="1491" t="s">
        <v>91</v>
      </c>
      <c r="BP13" s="1104" t="s">
        <v>91</v>
      </c>
      <c r="BQ13" s="1307">
        <v>0.64583333333333337</v>
      </c>
      <c r="BR13" s="1307">
        <v>0.96527777777777779</v>
      </c>
      <c r="BS13" s="1005">
        <v>0.6875</v>
      </c>
      <c r="BT13" s="1005">
        <v>0</v>
      </c>
      <c r="BU13" s="1005">
        <v>0.6875</v>
      </c>
      <c r="BV13" s="1005">
        <v>0</v>
      </c>
      <c r="BW13" s="1005">
        <v>0.41666666666666669</v>
      </c>
      <c r="BX13" s="1005">
        <v>0.75</v>
      </c>
      <c r="BY13" s="1091">
        <v>0.41666666666666669</v>
      </c>
      <c r="BZ13" s="1135">
        <v>0.75</v>
      </c>
      <c r="CA13" s="1005">
        <v>0.41666666666666669</v>
      </c>
      <c r="CB13" s="1468">
        <v>0.75</v>
      </c>
    </row>
    <row r="14" spans="1:80" x14ac:dyDescent="0.45">
      <c r="A14" s="1403"/>
      <c r="B14" s="1432"/>
      <c r="C14" s="1435"/>
      <c r="D14" s="1409"/>
      <c r="E14" s="1405"/>
      <c r="F14" s="1405"/>
      <c r="G14" s="1406"/>
      <c r="H14" s="1406"/>
      <c r="I14" s="1407"/>
      <c r="J14" s="1407"/>
      <c r="K14" s="1405"/>
      <c r="L14" s="1408"/>
      <c r="M14" s="1405"/>
      <c r="N14" s="1408"/>
      <c r="O14" s="1409"/>
      <c r="P14" s="1410"/>
      <c r="Q14" s="1811"/>
      <c r="R14" s="1810"/>
      <c r="S14" s="1812"/>
      <c r="T14" s="1797"/>
      <c r="U14" s="1797"/>
      <c r="V14" s="1797"/>
      <c r="W14" s="1808"/>
      <c r="X14" s="1808"/>
      <c r="Y14" s="1808"/>
      <c r="Z14" s="1654"/>
      <c r="AA14" s="1796"/>
      <c r="AB14" s="1808"/>
      <c r="AC14" s="1802"/>
      <c r="AD14" s="1809"/>
      <c r="AE14" s="1802"/>
      <c r="AF14" s="1544"/>
      <c r="AG14" s="1811"/>
      <c r="AH14" s="1810"/>
      <c r="AI14" s="1813"/>
      <c r="AJ14" s="1814"/>
      <c r="AK14" s="1814"/>
      <c r="AL14" s="1814"/>
      <c r="AM14" s="1123"/>
      <c r="AN14" s="1123"/>
      <c r="AO14" s="1654"/>
      <c r="AP14" s="1654"/>
      <c r="AQ14" s="1807"/>
      <c r="AR14" s="1808"/>
      <c r="AS14" s="1809"/>
      <c r="AT14" s="1544"/>
      <c r="AU14" s="1808"/>
      <c r="AV14" s="1654"/>
      <c r="AW14" s="1905" t="s">
        <v>282</v>
      </c>
      <c r="AX14" s="1144" t="s">
        <v>19</v>
      </c>
      <c r="AY14" s="1826"/>
      <c r="AZ14" s="1827"/>
      <c r="BA14" s="1828">
        <v>0.5</v>
      </c>
      <c r="BB14" s="1828">
        <v>0.83333333333333337</v>
      </c>
      <c r="BC14" s="1816">
        <v>0.52083333333333337</v>
      </c>
      <c r="BD14" s="1816">
        <v>0.85416666666666663</v>
      </c>
      <c r="BE14" s="1104" t="s">
        <v>90</v>
      </c>
      <c r="BF14" s="1104" t="s">
        <v>90</v>
      </c>
      <c r="BG14" s="1816">
        <v>0.52083333333333337</v>
      </c>
      <c r="BH14" s="1819">
        <v>0.85416666666666663</v>
      </c>
      <c r="BI14" s="1816">
        <v>0.52083333333333337</v>
      </c>
      <c r="BJ14" s="1819">
        <v>0.85416666666666663</v>
      </c>
      <c r="BK14" s="1005">
        <v>0.52083333333333337</v>
      </c>
      <c r="BL14" s="1005">
        <v>0.85416666666666663</v>
      </c>
      <c r="BM14" s="1905" t="s">
        <v>282</v>
      </c>
      <c r="BN14" s="1144" t="s">
        <v>19</v>
      </c>
      <c r="BO14" s="1143">
        <v>0.52083333333333337</v>
      </c>
      <c r="BP14" s="1090">
        <v>0.85416666666666663</v>
      </c>
      <c r="BQ14" s="1104" t="s">
        <v>91</v>
      </c>
      <c r="BR14" s="1104" t="s">
        <v>91</v>
      </c>
      <c r="BS14" s="1005">
        <v>0.52083333333333337</v>
      </c>
      <c r="BT14" s="1005">
        <v>0.85416666666666663</v>
      </c>
      <c r="BU14" s="1135">
        <v>0.52083333333333337</v>
      </c>
      <c r="BV14" s="1135">
        <v>0.85416666666666663</v>
      </c>
      <c r="BW14" s="1005">
        <v>0.52083333333333337</v>
      </c>
      <c r="BX14" s="1005">
        <v>0.85416666666666663</v>
      </c>
      <c r="BY14" s="1925">
        <v>0.52083333333333337</v>
      </c>
      <c r="BZ14" s="1924">
        <v>0.85416666666666663</v>
      </c>
      <c r="CA14" s="1005">
        <v>0.52083333333333337</v>
      </c>
      <c r="CB14" s="1468">
        <v>0.85416666666666663</v>
      </c>
    </row>
    <row r="15" spans="1:80" x14ac:dyDescent="0.45">
      <c r="A15" s="1403"/>
      <c r="B15" s="1432"/>
      <c r="C15" s="1435"/>
      <c r="D15" s="1409"/>
      <c r="E15" s="1405"/>
      <c r="F15" s="1405"/>
      <c r="G15" s="1406"/>
      <c r="H15" s="1406"/>
      <c r="I15" s="1407"/>
      <c r="J15" s="1407"/>
      <c r="K15" s="1405"/>
      <c r="L15" s="1408"/>
      <c r="M15" s="1405"/>
      <c r="N15" s="1408"/>
      <c r="O15" s="1409"/>
      <c r="P15" s="1410"/>
      <c r="Q15" s="1811"/>
      <c r="R15" s="1810"/>
      <c r="S15" s="1812"/>
      <c r="T15" s="1797"/>
      <c r="U15" s="1797"/>
      <c r="V15" s="1797"/>
      <c r="W15" s="1808"/>
      <c r="X15" s="1808"/>
      <c r="Y15" s="1808"/>
      <c r="Z15" s="1654"/>
      <c r="AA15" s="1796"/>
      <c r="AB15" s="1808"/>
      <c r="AC15" s="1802"/>
      <c r="AD15" s="1809"/>
      <c r="AE15" s="1802"/>
      <c r="AF15" s="1544"/>
      <c r="AG15" s="1811"/>
      <c r="AH15" s="1810"/>
      <c r="AI15" s="1813"/>
      <c r="AJ15" s="1814"/>
      <c r="AK15" s="1814"/>
      <c r="AL15" s="1814"/>
      <c r="AM15" s="1123"/>
      <c r="AN15" s="1123"/>
      <c r="AO15" s="1654"/>
      <c r="AP15" s="1654"/>
      <c r="AQ15" s="1807"/>
      <c r="AR15" s="1808"/>
      <c r="AS15" s="1809"/>
      <c r="AT15" s="1544"/>
      <c r="AU15" s="1808"/>
      <c r="AV15" s="1654"/>
      <c r="AW15" s="1905" t="s">
        <v>283</v>
      </c>
      <c r="AX15" s="1144" t="s">
        <v>19</v>
      </c>
      <c r="AY15" s="1826"/>
      <c r="AZ15" s="1827"/>
      <c r="BA15" s="1906">
        <v>0.5</v>
      </c>
      <c r="BB15" s="1906">
        <v>0.83333333333333337</v>
      </c>
      <c r="BC15" s="1816">
        <v>0.6875</v>
      </c>
      <c r="BD15" s="1816">
        <v>0</v>
      </c>
      <c r="BE15" s="1104" t="s">
        <v>90</v>
      </c>
      <c r="BF15" s="1104" t="s">
        <v>90</v>
      </c>
      <c r="BG15" s="1816">
        <v>0.52083333333333337</v>
      </c>
      <c r="BH15" s="1819">
        <v>0.85416666666666663</v>
      </c>
      <c r="BI15" s="1816">
        <v>0.52083333333333337</v>
      </c>
      <c r="BJ15" s="1819">
        <v>0.85416666666666663</v>
      </c>
      <c r="BK15" s="1005">
        <v>0.52083333333333337</v>
      </c>
      <c r="BL15" s="1005">
        <v>0.85416666666666663</v>
      </c>
      <c r="BM15" s="1905" t="s">
        <v>283</v>
      </c>
      <c r="BN15" s="1144" t="s">
        <v>19</v>
      </c>
      <c r="BO15" s="1491" t="s">
        <v>91</v>
      </c>
      <c r="BP15" s="1104" t="s">
        <v>91</v>
      </c>
      <c r="BQ15" s="1090">
        <v>0.4375</v>
      </c>
      <c r="BR15" s="1090">
        <v>0.77083333333333337</v>
      </c>
      <c r="BS15" s="1005">
        <v>0.58333333333333337</v>
      </c>
      <c r="BT15" s="1005">
        <v>0.90972222222222221</v>
      </c>
      <c r="BU15" s="1135">
        <v>0.58333333333333337</v>
      </c>
      <c r="BV15" s="1135">
        <v>0.90972222222222221</v>
      </c>
      <c r="BW15" s="1457">
        <v>0.625</v>
      </c>
      <c r="BX15" s="1457">
        <v>0.94444444444444442</v>
      </c>
      <c r="BY15" s="1927">
        <v>0.625</v>
      </c>
      <c r="BZ15" s="1928">
        <v>0.94444444444444442</v>
      </c>
      <c r="CA15" s="1457">
        <v>0.625</v>
      </c>
      <c r="CB15" s="1941">
        <v>0.94444444444444442</v>
      </c>
    </row>
    <row r="16" spans="1:80" x14ac:dyDescent="0.45">
      <c r="A16" s="1403"/>
      <c r="B16" s="1432"/>
      <c r="C16" s="1435"/>
      <c r="D16" s="1409"/>
      <c r="E16" s="1405"/>
      <c r="F16" s="1405"/>
      <c r="G16" s="1406"/>
      <c r="H16" s="1406"/>
      <c r="I16" s="1407"/>
      <c r="J16" s="1407"/>
      <c r="K16" s="1405"/>
      <c r="L16" s="1408"/>
      <c r="M16" s="1405"/>
      <c r="N16" s="1408"/>
      <c r="O16" s="1409"/>
      <c r="P16" s="1410"/>
      <c r="Q16" s="1811"/>
      <c r="R16" s="1810"/>
      <c r="S16" s="1812"/>
      <c r="T16" s="1797"/>
      <c r="U16" s="1797"/>
      <c r="V16" s="1797"/>
      <c r="W16" s="1808"/>
      <c r="X16" s="1808"/>
      <c r="Y16" s="1808"/>
      <c r="Z16" s="1654"/>
      <c r="AA16" s="1796"/>
      <c r="AB16" s="1808"/>
      <c r="AC16" s="1802"/>
      <c r="AD16" s="1809"/>
      <c r="AE16" s="1802"/>
      <c r="AF16" s="1544"/>
      <c r="AG16" s="1811"/>
      <c r="AH16" s="1810"/>
      <c r="AI16" s="1813"/>
      <c r="AJ16" s="1814"/>
      <c r="AK16" s="1814"/>
      <c r="AL16" s="1814"/>
      <c r="AM16" s="1123"/>
      <c r="AN16" s="1123"/>
      <c r="AO16" s="1654"/>
      <c r="AP16" s="1654"/>
      <c r="AQ16" s="1807"/>
      <c r="AR16" s="1808"/>
      <c r="AS16" s="1809"/>
      <c r="AT16" s="1544"/>
      <c r="AU16" s="1808"/>
      <c r="AV16" s="1654"/>
      <c r="AW16" s="1905" t="s">
        <v>284</v>
      </c>
      <c r="AX16" s="1144" t="s">
        <v>19</v>
      </c>
      <c r="AY16" s="1826"/>
      <c r="AZ16" s="1827"/>
      <c r="BA16" s="1906">
        <v>0.5</v>
      </c>
      <c r="BB16" s="1906">
        <v>0.83333333333333337</v>
      </c>
      <c r="BC16" s="1005">
        <v>0.6875</v>
      </c>
      <c r="BD16" s="1005">
        <v>0</v>
      </c>
      <c r="BE16" s="1104" t="s">
        <v>90</v>
      </c>
      <c r="BF16" s="1104" t="s">
        <v>90</v>
      </c>
      <c r="BG16" s="1816">
        <v>0.625</v>
      </c>
      <c r="BH16" s="1819">
        <v>0.94444444444444442</v>
      </c>
      <c r="BI16" s="1816">
        <v>0.625</v>
      </c>
      <c r="BJ16" s="1819">
        <v>0.94444444444444442</v>
      </c>
      <c r="BK16" s="1005">
        <v>0.625</v>
      </c>
      <c r="BL16" s="1005">
        <v>0.94444444444444442</v>
      </c>
      <c r="BM16" s="1905" t="s">
        <v>284</v>
      </c>
      <c r="BN16" s="1144" t="s">
        <v>19</v>
      </c>
      <c r="BO16" s="1143">
        <v>0.4375</v>
      </c>
      <c r="BP16" s="1090">
        <v>0.77083333333333337</v>
      </c>
      <c r="BQ16" s="1104" t="s">
        <v>91</v>
      </c>
      <c r="BR16" s="1104" t="s">
        <v>91</v>
      </c>
      <c r="BS16" s="1005">
        <v>0.64583333333333337</v>
      </c>
      <c r="BT16" s="1005">
        <v>0.96527777777777779</v>
      </c>
      <c r="BU16" s="1135">
        <v>0.52083333333333337</v>
      </c>
      <c r="BV16" s="1135">
        <v>0.85416666666666663</v>
      </c>
      <c r="BW16" s="1005">
        <v>0.52083333333333337</v>
      </c>
      <c r="BX16" s="1005">
        <v>0.85416666666666663</v>
      </c>
      <c r="BY16" s="1091">
        <v>0.52083333333333337</v>
      </c>
      <c r="BZ16" s="1135">
        <v>0.85416666666666663</v>
      </c>
      <c r="CA16" s="1926">
        <v>0.52083333333333337</v>
      </c>
      <c r="CB16" s="1942">
        <v>0.85416666666666663</v>
      </c>
    </row>
    <row r="17" spans="1:80" hidden="1" x14ac:dyDescent="0.45">
      <c r="A17" s="1403"/>
      <c r="B17" s="1432"/>
      <c r="C17" s="1435"/>
      <c r="D17" s="1409"/>
      <c r="E17" s="1405"/>
      <c r="F17" s="1405"/>
      <c r="G17" s="1406"/>
      <c r="H17" s="1406"/>
      <c r="I17" s="1407"/>
      <c r="J17" s="1407"/>
      <c r="K17" s="1405"/>
      <c r="L17" s="1408"/>
      <c r="M17" s="1405"/>
      <c r="N17" s="1408"/>
      <c r="O17" s="1409"/>
      <c r="P17" s="1410"/>
      <c r="Q17" s="1811"/>
      <c r="R17" s="1810"/>
      <c r="S17" s="1812"/>
      <c r="T17" s="1797"/>
      <c r="U17" s="1797"/>
      <c r="V17" s="1797"/>
      <c r="W17" s="1808"/>
      <c r="X17" s="1808"/>
      <c r="Y17" s="1808"/>
      <c r="Z17" s="1654"/>
      <c r="AA17" s="1796"/>
      <c r="AB17" s="1808"/>
      <c r="AC17" s="1802"/>
      <c r="AD17" s="1809"/>
      <c r="AE17" s="1802"/>
      <c r="AF17" s="1544"/>
      <c r="AG17" s="1811"/>
      <c r="AH17" s="1810"/>
      <c r="AI17" s="1813"/>
      <c r="AJ17" s="1814"/>
      <c r="AK17" s="1814"/>
      <c r="AL17" s="1814"/>
      <c r="AM17" s="1123"/>
      <c r="AN17" s="1123"/>
      <c r="AO17" s="1654"/>
      <c r="AP17" s="1654"/>
      <c r="AQ17" s="1807"/>
      <c r="AR17" s="1808"/>
      <c r="AS17" s="1809"/>
      <c r="AT17" s="1544"/>
      <c r="AU17" s="1808"/>
      <c r="AV17" s="1654"/>
      <c r="AW17" s="1905" t="s">
        <v>285</v>
      </c>
      <c r="AX17" s="1144" t="s">
        <v>19</v>
      </c>
      <c r="AY17" s="1826"/>
      <c r="AZ17" s="1827"/>
      <c r="BA17" s="1828">
        <v>0.5</v>
      </c>
      <c r="BB17" s="1828">
        <v>0.83333333333333337</v>
      </c>
      <c r="BC17" s="1904">
        <v>0.41666666666666669</v>
      </c>
      <c r="BD17" s="1904">
        <v>0.75</v>
      </c>
      <c r="BE17" s="1104" t="s">
        <v>90</v>
      </c>
      <c r="BF17" s="1104" t="s">
        <v>90</v>
      </c>
      <c r="BG17" s="1005">
        <v>0.64583333333333337</v>
      </c>
      <c r="BH17" s="1005">
        <v>0.96527777777777779</v>
      </c>
      <c r="BI17" s="1005">
        <v>0.64583333333333337</v>
      </c>
      <c r="BJ17" s="1005">
        <v>0.96527777777777779</v>
      </c>
      <c r="BK17" s="1005">
        <v>0.64583333333333337</v>
      </c>
      <c r="BL17" s="1005">
        <v>0.96527777777777779</v>
      </c>
      <c r="BM17" s="1905" t="s">
        <v>285</v>
      </c>
      <c r="BN17" s="1144" t="s">
        <v>19</v>
      </c>
      <c r="BO17" s="1143"/>
      <c r="BP17" s="1090"/>
      <c r="BQ17" s="1090"/>
      <c r="BR17" s="1090"/>
      <c r="BS17" s="1005"/>
      <c r="BT17" s="1005"/>
      <c r="BU17" s="1135"/>
      <c r="BV17" s="1135"/>
      <c r="BW17" s="1005"/>
      <c r="BX17" s="1005"/>
      <c r="BY17" s="1091"/>
      <c r="BZ17" s="1135"/>
      <c r="CA17" s="1005"/>
      <c r="CB17" s="1468"/>
    </row>
    <row r="18" spans="1:80" x14ac:dyDescent="0.45">
      <c r="A18" s="1403"/>
      <c r="B18" s="1432"/>
      <c r="C18" s="1435"/>
      <c r="D18" s="1409"/>
      <c r="E18" s="1405"/>
      <c r="F18" s="1405"/>
      <c r="G18" s="1406"/>
      <c r="H18" s="1406"/>
      <c r="I18" s="1407"/>
      <c r="J18" s="1407"/>
      <c r="K18" s="1405"/>
      <c r="L18" s="1408"/>
      <c r="M18" s="1405"/>
      <c r="N18" s="1408"/>
      <c r="O18" s="1409"/>
      <c r="P18" s="1410"/>
      <c r="Q18" s="1811"/>
      <c r="R18" s="1810"/>
      <c r="S18" s="1812"/>
      <c r="T18" s="1797"/>
      <c r="U18" s="1797"/>
      <c r="V18" s="1797"/>
      <c r="W18" s="1808"/>
      <c r="X18" s="1808"/>
      <c r="Y18" s="1808"/>
      <c r="Z18" s="1654"/>
      <c r="AA18" s="1796"/>
      <c r="AB18" s="1808"/>
      <c r="AC18" s="1802"/>
      <c r="AD18" s="1809"/>
      <c r="AE18" s="1802"/>
      <c r="AF18" s="1544"/>
      <c r="AG18" s="1811"/>
      <c r="AH18" s="1810"/>
      <c r="AI18" s="1813"/>
      <c r="AJ18" s="1814"/>
      <c r="AK18" s="1814"/>
      <c r="AL18" s="1814"/>
      <c r="AM18" s="1123"/>
      <c r="AN18" s="1123"/>
      <c r="AO18" s="1654"/>
      <c r="AP18" s="1654"/>
      <c r="AQ18" s="1807"/>
      <c r="AR18" s="1808"/>
      <c r="AS18" s="1809"/>
      <c r="AT18" s="1544"/>
      <c r="AU18" s="1808"/>
      <c r="AV18" s="1654"/>
      <c r="AW18" s="1905" t="s">
        <v>286</v>
      </c>
      <c r="AX18" s="1144" t="s">
        <v>19</v>
      </c>
      <c r="AY18" s="1826"/>
      <c r="AZ18" s="1827"/>
      <c r="BA18" s="1828">
        <v>0.5</v>
      </c>
      <c r="BB18" s="1828">
        <v>0.83333333333333337</v>
      </c>
      <c r="BC18" s="1904">
        <v>0.52083333333333337</v>
      </c>
      <c r="BD18" s="1904">
        <v>0.85416666666666663</v>
      </c>
      <c r="BE18" s="1104" t="s">
        <v>90</v>
      </c>
      <c r="BF18" s="1104" t="s">
        <v>90</v>
      </c>
      <c r="BG18" s="1005">
        <v>0.6875</v>
      </c>
      <c r="BH18" s="1005">
        <v>0</v>
      </c>
      <c r="BI18" s="1005">
        <v>0.6875</v>
      </c>
      <c r="BJ18" s="1005">
        <v>0</v>
      </c>
      <c r="BK18" s="1005">
        <v>0.6875</v>
      </c>
      <c r="BL18" s="1005">
        <v>0</v>
      </c>
      <c r="BM18" s="1905" t="s">
        <v>286</v>
      </c>
      <c r="BN18" s="1144" t="s">
        <v>19</v>
      </c>
      <c r="BO18" s="1491" t="s">
        <v>91</v>
      </c>
      <c r="BP18" s="1104" t="s">
        <v>91</v>
      </c>
      <c r="BQ18" s="1090">
        <v>0.52083333333333337</v>
      </c>
      <c r="BR18" s="1090">
        <v>0.85416666666666663</v>
      </c>
      <c r="BS18" s="1005">
        <v>0.67708333333333337</v>
      </c>
      <c r="BT18" s="1005">
        <v>0.98958333333333337</v>
      </c>
      <c r="BU18" s="1135">
        <v>0.67708333333333337</v>
      </c>
      <c r="BV18" s="1135">
        <v>0.98958333333333337</v>
      </c>
      <c r="BW18" s="1005">
        <v>0.6875</v>
      </c>
      <c r="BX18" s="1005">
        <v>0</v>
      </c>
      <c r="BY18" s="1091">
        <v>0.6875</v>
      </c>
      <c r="BZ18" s="1135">
        <v>0</v>
      </c>
      <c r="CA18" s="1005">
        <v>0.6875</v>
      </c>
      <c r="CB18" s="1468">
        <v>0</v>
      </c>
    </row>
    <row r="19" spans="1:80" x14ac:dyDescent="0.45">
      <c r="A19" s="1403"/>
      <c r="B19" s="1432"/>
      <c r="C19" s="1435"/>
      <c r="D19" s="1409"/>
      <c r="E19" s="1405"/>
      <c r="F19" s="1405"/>
      <c r="G19" s="1406"/>
      <c r="H19" s="1406"/>
      <c r="I19" s="1407"/>
      <c r="J19" s="1407"/>
      <c r="K19" s="1405"/>
      <c r="L19" s="1408"/>
      <c r="M19" s="1405"/>
      <c r="N19" s="1408"/>
      <c r="O19" s="1409"/>
      <c r="P19" s="1410"/>
      <c r="Q19" s="1811"/>
      <c r="R19" s="1810"/>
      <c r="S19" s="1812"/>
      <c r="T19" s="1797"/>
      <c r="U19" s="1797"/>
      <c r="V19" s="1797"/>
      <c r="W19" s="1808"/>
      <c r="X19" s="1808"/>
      <c r="Y19" s="1808"/>
      <c r="Z19" s="1654"/>
      <c r="AA19" s="1796"/>
      <c r="AB19" s="1808"/>
      <c r="AC19" s="1802"/>
      <c r="AD19" s="1809"/>
      <c r="AE19" s="1802"/>
      <c r="AF19" s="1544"/>
      <c r="AG19" s="1811"/>
      <c r="AH19" s="1810"/>
      <c r="AI19" s="1813"/>
      <c r="AJ19" s="1814"/>
      <c r="AK19" s="1814"/>
      <c r="AL19" s="1814"/>
      <c r="AM19" s="1123"/>
      <c r="AN19" s="1123"/>
      <c r="AO19" s="1654"/>
      <c r="AP19" s="1654"/>
      <c r="AQ19" s="1807"/>
      <c r="AR19" s="1808"/>
      <c r="AS19" s="1809"/>
      <c r="AT19" s="1544"/>
      <c r="AU19" s="1808"/>
      <c r="AV19" s="1654"/>
      <c r="AW19" s="1905" t="s">
        <v>287</v>
      </c>
      <c r="AX19" s="1144" t="s">
        <v>19</v>
      </c>
      <c r="AY19" s="1826"/>
      <c r="AZ19" s="1827"/>
      <c r="BA19" s="1828">
        <v>0.5</v>
      </c>
      <c r="BB19" s="1828">
        <v>0.83333333333333337</v>
      </c>
      <c r="BC19" s="1904">
        <v>0.6875</v>
      </c>
      <c r="BD19" s="1904">
        <v>0</v>
      </c>
      <c r="BE19" s="1104" t="s">
        <v>90</v>
      </c>
      <c r="BF19" s="1104" t="s">
        <v>90</v>
      </c>
      <c r="BG19" s="1005">
        <v>0.6875</v>
      </c>
      <c r="BH19" s="1005">
        <v>0</v>
      </c>
      <c r="BI19" s="1005">
        <v>0.6875</v>
      </c>
      <c r="BJ19" s="1005">
        <v>0</v>
      </c>
      <c r="BK19" s="1005">
        <v>0.6875</v>
      </c>
      <c r="BL19" s="1005">
        <v>0</v>
      </c>
      <c r="BM19" s="1905" t="s">
        <v>288</v>
      </c>
      <c r="BN19" s="1144" t="s">
        <v>19</v>
      </c>
      <c r="BO19" s="1143">
        <v>0.52083333333333337</v>
      </c>
      <c r="BP19" s="1090">
        <v>0.85416666666666663</v>
      </c>
      <c r="BQ19" s="1104" t="s">
        <v>91</v>
      </c>
      <c r="BR19" s="1104" t="s">
        <v>91</v>
      </c>
      <c r="BS19" s="1005">
        <v>0.6875</v>
      </c>
      <c r="BT19" s="1005">
        <v>0</v>
      </c>
      <c r="BU19" s="1135">
        <v>0.6875</v>
      </c>
      <c r="BV19" s="1135">
        <v>0</v>
      </c>
      <c r="BW19" s="1005">
        <v>0.6875</v>
      </c>
      <c r="BX19" s="1005">
        <v>0</v>
      </c>
      <c r="BY19" s="1091">
        <v>0.6875</v>
      </c>
      <c r="BZ19" s="1135">
        <v>0</v>
      </c>
      <c r="CA19" s="1005">
        <v>0.6875</v>
      </c>
      <c r="CB19" s="1468">
        <v>0</v>
      </c>
    </row>
    <row r="20" spans="1:80" ht="29.25" thickBot="1" x14ac:dyDescent="0.5">
      <c r="A20" s="1403"/>
      <c r="B20" s="1432"/>
      <c r="C20" s="1435"/>
      <c r="D20" s="1409"/>
      <c r="E20" s="1405"/>
      <c r="F20" s="1405"/>
      <c r="G20" s="1406"/>
      <c r="H20" s="1406"/>
      <c r="I20" s="1407"/>
      <c r="J20" s="1407"/>
      <c r="K20" s="1405"/>
      <c r="L20" s="1408"/>
      <c r="M20" s="1405"/>
      <c r="N20" s="1408"/>
      <c r="O20" s="1409"/>
      <c r="P20" s="1410"/>
      <c r="Q20" s="1811"/>
      <c r="R20" s="1810"/>
      <c r="S20" s="1812"/>
      <c r="T20" s="1797"/>
      <c r="U20" s="1797"/>
      <c r="V20" s="1797"/>
      <c r="W20" s="1808"/>
      <c r="X20" s="1808"/>
      <c r="Y20" s="1808"/>
      <c r="Z20" s="1654"/>
      <c r="AA20" s="1796"/>
      <c r="AB20" s="1808"/>
      <c r="AC20" s="1802"/>
      <c r="AD20" s="1809"/>
      <c r="AE20" s="1802"/>
      <c r="AF20" s="1544"/>
      <c r="AG20" s="1811"/>
      <c r="AH20" s="1810"/>
      <c r="AI20" s="1813"/>
      <c r="AJ20" s="1814"/>
      <c r="AK20" s="1814"/>
      <c r="AL20" s="1814"/>
      <c r="AM20" s="1123"/>
      <c r="AN20" s="1123"/>
      <c r="AO20" s="1654"/>
      <c r="AP20" s="1654"/>
      <c r="AQ20" s="1807"/>
      <c r="AR20" s="1808"/>
      <c r="AS20" s="1809"/>
      <c r="AT20" s="1544"/>
      <c r="AU20" s="1808"/>
      <c r="AV20" s="1654"/>
      <c r="AW20" s="1905" t="s">
        <v>289</v>
      </c>
      <c r="AX20" s="1144" t="s">
        <v>19</v>
      </c>
      <c r="AY20" s="1826"/>
      <c r="AZ20" s="1827"/>
      <c r="BA20" s="1828">
        <v>0.5</v>
      </c>
      <c r="BB20" s="1828">
        <v>0.83333333333333337</v>
      </c>
      <c r="BC20" s="1904">
        <v>0.6875</v>
      </c>
      <c r="BD20" s="1904">
        <v>0</v>
      </c>
      <c r="BE20" s="1104" t="s">
        <v>90</v>
      </c>
      <c r="BF20" s="1104" t="s">
        <v>90</v>
      </c>
      <c r="BG20" s="1005">
        <v>0.6875</v>
      </c>
      <c r="BH20" s="1005">
        <v>0</v>
      </c>
      <c r="BI20" s="1005">
        <v>0.6875</v>
      </c>
      <c r="BJ20" s="1005">
        <v>0</v>
      </c>
      <c r="BK20" s="1005">
        <v>0.6875</v>
      </c>
      <c r="BL20" s="1005">
        <v>0</v>
      </c>
      <c r="BM20" s="1905" t="s">
        <v>290</v>
      </c>
      <c r="BN20" s="1144" t="s">
        <v>19</v>
      </c>
      <c r="BO20" s="1943" t="s">
        <v>91</v>
      </c>
      <c r="BP20" s="1479" t="s">
        <v>91</v>
      </c>
      <c r="BQ20" s="1476">
        <v>0.4375</v>
      </c>
      <c r="BR20" s="1476">
        <v>0.77083333333333337</v>
      </c>
      <c r="BS20" s="1477">
        <v>0.6875</v>
      </c>
      <c r="BT20" s="1477">
        <v>0</v>
      </c>
      <c r="BU20" s="1944">
        <v>0.6875</v>
      </c>
      <c r="BV20" s="1944">
        <v>0</v>
      </c>
      <c r="BW20" s="1477">
        <v>0.6875</v>
      </c>
      <c r="BX20" s="1477">
        <v>0</v>
      </c>
      <c r="BY20" s="1945">
        <v>0.6875</v>
      </c>
      <c r="BZ20" s="1944">
        <v>0</v>
      </c>
      <c r="CA20" s="1477">
        <v>0.6875</v>
      </c>
      <c r="CB20" s="1946">
        <v>0</v>
      </c>
    </row>
    <row r="21" spans="1:80" ht="29.25" hidden="1" thickBot="1" x14ac:dyDescent="0.5">
      <c r="A21" s="1403"/>
      <c r="B21" s="1432"/>
      <c r="C21" s="1435"/>
      <c r="D21" s="1409"/>
      <c r="E21" s="1405"/>
      <c r="F21" s="1405"/>
      <c r="G21" s="1406"/>
      <c r="H21" s="1406"/>
      <c r="I21" s="1407"/>
      <c r="J21" s="1407"/>
      <c r="K21" s="1405"/>
      <c r="L21" s="1408"/>
      <c r="M21" s="1405"/>
      <c r="N21" s="1408"/>
      <c r="O21" s="1409"/>
      <c r="P21" s="1410"/>
      <c r="Q21" s="1811"/>
      <c r="R21" s="1810"/>
      <c r="S21" s="1812"/>
      <c r="T21" s="1797"/>
      <c r="U21" s="1797"/>
      <c r="V21" s="1797"/>
      <c r="W21" s="1808"/>
      <c r="X21" s="1808"/>
      <c r="Y21" s="1808"/>
      <c r="Z21" s="1654"/>
      <c r="AA21" s="1796"/>
      <c r="AB21" s="1808"/>
      <c r="AC21" s="1802"/>
      <c r="AD21" s="1809"/>
      <c r="AE21" s="1802"/>
      <c r="AF21" s="1544"/>
      <c r="AG21" s="1811"/>
      <c r="AH21" s="1810"/>
      <c r="AI21" s="1813"/>
      <c r="AJ21" s="1814"/>
      <c r="AK21" s="1814"/>
      <c r="AL21" s="1814"/>
      <c r="AM21" s="1123"/>
      <c r="AN21" s="1123"/>
      <c r="AO21" s="1654"/>
      <c r="AP21" s="1654"/>
      <c r="AQ21" s="1807"/>
      <c r="AR21" s="1808"/>
      <c r="AS21" s="1809"/>
      <c r="AT21" s="1544"/>
      <c r="AU21" s="1808"/>
      <c r="AV21" s="1654"/>
      <c r="AW21" s="1905" t="s">
        <v>291</v>
      </c>
      <c r="AX21" s="1144" t="s">
        <v>19</v>
      </c>
      <c r="AY21" s="1826"/>
      <c r="AZ21" s="1827"/>
      <c r="BA21" s="1828">
        <v>0.5</v>
      </c>
      <c r="BB21" s="1828">
        <v>0.83333333333333337</v>
      </c>
      <c r="BC21" s="1904">
        <v>0.52083333333333337</v>
      </c>
      <c r="BD21" s="1904">
        <v>0.85416666666666663</v>
      </c>
      <c r="BE21" s="1104" t="s">
        <v>90</v>
      </c>
      <c r="BF21" s="1104" t="s">
        <v>90</v>
      </c>
      <c r="BG21" s="1005">
        <v>0.6875</v>
      </c>
      <c r="BH21" s="1005">
        <v>0</v>
      </c>
      <c r="BI21" s="1005">
        <v>0.6875</v>
      </c>
      <c r="BJ21" s="1005">
        <v>0</v>
      </c>
      <c r="BK21" s="1005">
        <v>0.6875</v>
      </c>
      <c r="BL21" s="1005">
        <v>0</v>
      </c>
      <c r="BM21" s="1905" t="s">
        <v>291</v>
      </c>
      <c r="BN21" s="1164" t="s">
        <v>19</v>
      </c>
      <c r="BO21" s="1796"/>
      <c r="BP21" s="1797"/>
      <c r="BQ21" s="1809" t="s">
        <v>91</v>
      </c>
      <c r="BR21" s="1809" t="s">
        <v>91</v>
      </c>
      <c r="BS21" s="1808"/>
      <c r="BT21" s="1808"/>
      <c r="BU21" s="1654"/>
      <c r="BV21" s="1654"/>
      <c r="BW21" s="1808"/>
      <c r="BX21" s="1808"/>
      <c r="BY21" s="1807"/>
      <c r="BZ21" s="1654"/>
      <c r="CA21" s="1808"/>
      <c r="CB21" s="1808"/>
    </row>
    <row r="22" spans="1:80" x14ac:dyDescent="0.45">
      <c r="A22" s="1319" t="s">
        <v>103</v>
      </c>
      <c r="B22" s="1432" t="s">
        <v>38</v>
      </c>
      <c r="C22" s="1090">
        <v>0.66666666666666663</v>
      </c>
      <c r="D22" s="1090">
        <v>0.97916666666666663</v>
      </c>
      <c r="E22" s="1145"/>
      <c r="F22" s="1145"/>
      <c r="G22" s="1092">
        <v>0.4375</v>
      </c>
      <c r="H22" s="1092">
        <v>0.77083333333333337</v>
      </c>
      <c r="I22" s="1005">
        <v>0.4375</v>
      </c>
      <c r="J22" s="1005">
        <v>0.77083333333333337</v>
      </c>
      <c r="K22" s="1090">
        <v>0.72916666666666663</v>
      </c>
      <c r="L22" s="1090">
        <v>0</v>
      </c>
      <c r="M22" s="1145"/>
      <c r="N22" s="1104"/>
      <c r="O22" s="1145"/>
      <c r="P22" s="1328"/>
      <c r="Q22" s="1482" t="s">
        <v>102</v>
      </c>
      <c r="R22" s="1128" t="s">
        <v>38</v>
      </c>
      <c r="S22" s="1495">
        <v>0.67708333333333337</v>
      </c>
      <c r="T22" s="1496">
        <v>0.98958333333333337</v>
      </c>
      <c r="U22" s="1497"/>
      <c r="V22" s="1497"/>
      <c r="W22" s="1498">
        <v>0.45833333333333331</v>
      </c>
      <c r="X22" s="1498">
        <v>0.79166666666666663</v>
      </c>
      <c r="Y22" s="1498">
        <v>0.45833333333333331</v>
      </c>
      <c r="Z22" s="1499">
        <v>0.79166666666666663</v>
      </c>
      <c r="AA22" s="1506"/>
      <c r="AB22" s="1408"/>
      <c r="AC22" s="1405"/>
      <c r="AD22" s="1408"/>
      <c r="AE22" s="1483"/>
      <c r="AF22" s="1484"/>
      <c r="AG22" s="1482" t="s">
        <v>102</v>
      </c>
      <c r="AH22" s="1128" t="s">
        <v>38</v>
      </c>
      <c r="AI22" s="1519">
        <v>0.6875</v>
      </c>
      <c r="AJ22" s="1409">
        <v>0</v>
      </c>
      <c r="AK22" s="1409">
        <v>0.6875</v>
      </c>
      <c r="AL22" s="1409">
        <v>0</v>
      </c>
      <c r="AM22" s="1460"/>
      <c r="AN22" s="1460"/>
      <c r="AO22" s="1527">
        <v>0.6875</v>
      </c>
      <c r="AP22" s="1407">
        <v>0</v>
      </c>
      <c r="AQ22" s="1506"/>
      <c r="AR22" s="1408"/>
      <c r="AS22" s="1405"/>
      <c r="AT22" s="1408"/>
      <c r="AU22" s="1405"/>
      <c r="AV22" s="1907"/>
      <c r="AW22" s="1908" t="s">
        <v>102</v>
      </c>
      <c r="AX22" s="1128" t="s">
        <v>38</v>
      </c>
      <c r="AY22" s="1519">
        <v>0.67708333333333337</v>
      </c>
      <c r="AZ22" s="1409">
        <v>0.98958333333333337</v>
      </c>
      <c r="BA22" s="1672"/>
      <c r="BB22" s="1672"/>
      <c r="BC22" s="1407">
        <v>0.41666666666666669</v>
      </c>
      <c r="BD22" s="1407">
        <v>0.75</v>
      </c>
      <c r="BE22" s="1895">
        <v>0.41666666666666669</v>
      </c>
      <c r="BF22" s="1896">
        <v>0.75</v>
      </c>
      <c r="BG22" s="1675"/>
      <c r="BH22" s="1676"/>
      <c r="BI22" s="1672"/>
      <c r="BJ22" s="1676"/>
      <c r="BK22" s="1409">
        <v>0.64583333333333337</v>
      </c>
      <c r="BL22" s="1527">
        <v>0.96527777777777779</v>
      </c>
      <c r="BM22" s="1918" t="s">
        <v>102</v>
      </c>
      <c r="BN22" s="1128" t="s">
        <v>38</v>
      </c>
      <c r="BO22" s="1145"/>
      <c r="BP22" s="1145"/>
      <c r="BQ22" s="1090">
        <v>0.52083333333333337</v>
      </c>
      <c r="BR22" s="1090">
        <v>0.85416666666666663</v>
      </c>
      <c r="BS22" s="1262">
        <v>0.41666666666666669</v>
      </c>
      <c r="BT22" s="1262">
        <v>0.70833333333333337</v>
      </c>
      <c r="BU22" s="1005">
        <v>0.41666666666666669</v>
      </c>
      <c r="BV22" s="1005">
        <v>0.75</v>
      </c>
      <c r="BW22" s="1104"/>
      <c r="BX22" s="1104"/>
      <c r="BY22" s="1104"/>
      <c r="BZ22" s="1104"/>
      <c r="CA22" s="1005">
        <v>0.64583333333333337</v>
      </c>
      <c r="CB22" s="1005">
        <v>0.96527777777777779</v>
      </c>
    </row>
    <row r="23" spans="1:80" x14ac:dyDescent="0.45">
      <c r="A23" s="1320" t="s">
        <v>104</v>
      </c>
      <c r="B23" s="1432" t="s">
        <v>38</v>
      </c>
      <c r="C23" s="1244">
        <v>0.66666666666666663</v>
      </c>
      <c r="D23" s="1090">
        <v>0.97916666666666663</v>
      </c>
      <c r="E23" s="1145"/>
      <c r="F23" s="1145"/>
      <c r="G23" s="1092">
        <v>0.45833333333333331</v>
      </c>
      <c r="H23" s="1092">
        <v>0.79166666666666663</v>
      </c>
      <c r="I23" s="1005">
        <v>0.45833333333333331</v>
      </c>
      <c r="J23" s="1005">
        <v>0.79166666666666663</v>
      </c>
      <c r="K23" s="1145"/>
      <c r="L23" s="1104"/>
      <c r="M23" s="1090">
        <v>0.72916666666666663</v>
      </c>
      <c r="N23" s="1005">
        <v>0</v>
      </c>
      <c r="O23" s="1145"/>
      <c r="P23" s="1328"/>
      <c r="Q23" s="1100" t="s">
        <v>104</v>
      </c>
      <c r="R23" s="1128" t="s">
        <v>38</v>
      </c>
      <c r="S23" s="1143">
        <v>0.64583333333333337</v>
      </c>
      <c r="T23" s="1090">
        <v>0.96527777777777779</v>
      </c>
      <c r="U23" s="1145"/>
      <c r="V23" s="1145"/>
      <c r="W23" s="1092">
        <v>0.375</v>
      </c>
      <c r="X23" s="1092">
        <v>0.70833333333333337</v>
      </c>
      <c r="Y23" s="1092">
        <v>0.375</v>
      </c>
      <c r="Z23" s="1500">
        <v>0.70833333333333337</v>
      </c>
      <c r="AA23" s="1284"/>
      <c r="AB23" s="1104"/>
      <c r="AC23" s="1145"/>
      <c r="AD23" s="1104"/>
      <c r="AE23" s="1261">
        <v>0.72916666666666663</v>
      </c>
      <c r="AF23" s="1262">
        <v>0</v>
      </c>
      <c r="AG23" s="1100" t="s">
        <v>104</v>
      </c>
      <c r="AH23" s="1128" t="s">
        <v>38</v>
      </c>
      <c r="AI23" s="1143">
        <v>0.6875</v>
      </c>
      <c r="AJ23" s="1090">
        <v>0</v>
      </c>
      <c r="AK23" s="1090">
        <v>0.6875</v>
      </c>
      <c r="AL23" s="1090">
        <v>0</v>
      </c>
      <c r="AM23" s="1537">
        <v>0.54166666666666663</v>
      </c>
      <c r="AN23" s="1537">
        <v>0.875</v>
      </c>
      <c r="AO23" s="1517"/>
      <c r="AP23" s="1516"/>
      <c r="AQ23" s="1284"/>
      <c r="AR23" s="1104"/>
      <c r="AS23" s="1145"/>
      <c r="AT23" s="1104"/>
      <c r="AU23" s="1145"/>
      <c r="AV23" s="1271"/>
      <c r="AW23" s="1909" t="s">
        <v>104</v>
      </c>
      <c r="AX23" s="1128" t="s">
        <v>38</v>
      </c>
      <c r="AY23" s="1143">
        <v>0.6875</v>
      </c>
      <c r="AZ23" s="1090">
        <v>0</v>
      </c>
      <c r="BA23" s="1671"/>
      <c r="BB23" s="1671"/>
      <c r="BC23" s="1092">
        <v>0.45833333333333331</v>
      </c>
      <c r="BD23" s="1092">
        <v>0.79166666666666663</v>
      </c>
      <c r="BE23" s="1516">
        <v>0.45833333333333331</v>
      </c>
      <c r="BF23" s="1516">
        <v>0.79166666666666663</v>
      </c>
      <c r="BG23" s="1677"/>
      <c r="BH23" s="1678"/>
      <c r="BI23" s="1671"/>
      <c r="BJ23" s="1678"/>
      <c r="BK23" s="1832">
        <v>0.64583333333333337</v>
      </c>
      <c r="BL23" s="1916">
        <v>0.96527777777777779</v>
      </c>
      <c r="BM23" s="1919" t="s">
        <v>104</v>
      </c>
      <c r="BN23" s="1128" t="s">
        <v>38</v>
      </c>
      <c r="BO23" s="1438">
        <v>0.4375</v>
      </c>
      <c r="BP23" s="1438">
        <v>0.72916666666666663</v>
      </c>
      <c r="BQ23" s="1145"/>
      <c r="BR23" s="1145"/>
      <c r="BS23" s="1092">
        <v>0.375</v>
      </c>
      <c r="BT23" s="1092">
        <v>0.70833333333333337</v>
      </c>
      <c r="BU23" s="1092">
        <v>0.375</v>
      </c>
      <c r="BV23" s="1092">
        <v>0.70833333333333337</v>
      </c>
      <c r="BW23" s="1145"/>
      <c r="BX23" s="1104"/>
      <c r="BY23" s="1145"/>
      <c r="BZ23" s="1104"/>
      <c r="CA23" s="1090">
        <v>0.64583333333333337</v>
      </c>
      <c r="CB23" s="1005">
        <v>0.96527777777777779</v>
      </c>
    </row>
    <row r="24" spans="1:80" x14ac:dyDescent="0.45">
      <c r="A24" s="1319" t="s">
        <v>105</v>
      </c>
      <c r="B24" s="1432" t="s">
        <v>38</v>
      </c>
      <c r="C24" s="1244">
        <v>0.66666666666666663</v>
      </c>
      <c r="D24" s="1090">
        <v>0.97916666666666663</v>
      </c>
      <c r="E24" s="1145"/>
      <c r="F24" s="1145"/>
      <c r="G24" s="1308">
        <v>0.6875</v>
      </c>
      <c r="H24" s="1308">
        <v>0</v>
      </c>
      <c r="I24" s="1308">
        <v>0.6875</v>
      </c>
      <c r="J24" s="1308">
        <v>0</v>
      </c>
      <c r="K24" s="1145"/>
      <c r="L24" s="1104"/>
      <c r="M24" s="1145"/>
      <c r="N24" s="1104"/>
      <c r="O24" s="1090">
        <v>0.72916666666666663</v>
      </c>
      <c r="P24" s="1005">
        <v>0</v>
      </c>
      <c r="Q24" s="1099" t="s">
        <v>105</v>
      </c>
      <c r="R24" s="1128" t="s">
        <v>38</v>
      </c>
      <c r="S24" s="1143">
        <v>0.67708333333333337</v>
      </c>
      <c r="T24" s="1090">
        <v>0.98958333333333337</v>
      </c>
      <c r="U24" s="1145"/>
      <c r="V24" s="1145"/>
      <c r="W24" s="1457">
        <v>0.625</v>
      </c>
      <c r="X24" s="1457">
        <v>0.94444444444444442</v>
      </c>
      <c r="Y24" s="1005">
        <v>0.64583333333333337</v>
      </c>
      <c r="Z24" s="1468">
        <v>0.96527777777777779</v>
      </c>
      <c r="AA24" s="1284"/>
      <c r="AB24" s="1104"/>
      <c r="AC24" s="1145"/>
      <c r="AD24" s="1104"/>
      <c r="AE24" s="1261">
        <v>0.72916666666666663</v>
      </c>
      <c r="AF24" s="1262">
        <v>0</v>
      </c>
      <c r="AG24" s="1099" t="s">
        <v>105</v>
      </c>
      <c r="AH24" s="1128" t="s">
        <v>38</v>
      </c>
      <c r="AI24" s="1143">
        <v>0.6875</v>
      </c>
      <c r="AJ24" s="1090">
        <v>0</v>
      </c>
      <c r="AK24" s="1090">
        <v>0.6875</v>
      </c>
      <c r="AL24" s="1090">
        <v>0</v>
      </c>
      <c r="AM24" s="1460"/>
      <c r="AN24" s="1460"/>
      <c r="AO24" s="1005">
        <v>0.6875</v>
      </c>
      <c r="AP24" s="1005">
        <v>0</v>
      </c>
      <c r="AQ24" s="1284"/>
      <c r="AR24" s="1104"/>
      <c r="AS24" s="1145"/>
      <c r="AT24" s="1104"/>
      <c r="AU24" s="1145"/>
      <c r="AV24" s="1271"/>
      <c r="AW24" s="1910" t="s">
        <v>105</v>
      </c>
      <c r="AX24" s="1128" t="s">
        <v>38</v>
      </c>
      <c r="AY24" s="1670"/>
      <c r="AZ24" s="1674"/>
      <c r="BA24" s="1438">
        <v>0.625</v>
      </c>
      <c r="BB24" s="1438">
        <v>0.94444444444444442</v>
      </c>
      <c r="BC24" s="1101">
        <v>0.79166666666666663</v>
      </c>
      <c r="BD24" s="1101">
        <v>8.3333333333333329E-2</v>
      </c>
      <c r="BE24" s="1104">
        <v>0.6875</v>
      </c>
      <c r="BF24" s="1104">
        <v>0</v>
      </c>
      <c r="BG24" s="1677"/>
      <c r="BH24" s="1678"/>
      <c r="BI24" s="1671"/>
      <c r="BJ24" s="1678"/>
      <c r="BK24" s="1090">
        <v>0.66666666666666663</v>
      </c>
      <c r="BL24" s="1135">
        <v>0.97916666666666663</v>
      </c>
      <c r="BM24" s="1920" t="s">
        <v>105</v>
      </c>
      <c r="BN24" s="1128" t="s">
        <v>38</v>
      </c>
      <c r="BO24" s="1145"/>
      <c r="BP24" s="1145"/>
      <c r="BQ24" s="1261">
        <v>0.52083333333333337</v>
      </c>
      <c r="BR24" s="1261">
        <v>0.8125</v>
      </c>
      <c r="BS24" s="1090">
        <v>0.6875</v>
      </c>
      <c r="BT24" s="1090">
        <v>0</v>
      </c>
      <c r="BU24" s="1090">
        <v>0.6875</v>
      </c>
      <c r="BV24" s="1090">
        <v>0</v>
      </c>
      <c r="BW24" s="1145"/>
      <c r="BX24" s="1104"/>
      <c r="BY24" s="1145"/>
      <c r="BZ24" s="1104"/>
      <c r="CA24" s="1090">
        <v>0.66666666666666663</v>
      </c>
      <c r="CB24" s="1005">
        <v>0.97916666666666663</v>
      </c>
    </row>
    <row r="25" spans="1:80" x14ac:dyDescent="0.45">
      <c r="A25" s="1321" t="s">
        <v>106</v>
      </c>
      <c r="B25" s="1432" t="s">
        <v>38</v>
      </c>
      <c r="C25" s="1244">
        <v>0.67708333333333337</v>
      </c>
      <c r="D25" s="1090">
        <v>0.98958333333333337</v>
      </c>
      <c r="E25" s="1092">
        <v>0.70833333333333337</v>
      </c>
      <c r="F25" s="1092">
        <v>1.3888888888888888E-2</v>
      </c>
      <c r="G25" s="1005">
        <v>0.58333333333333337</v>
      </c>
      <c r="H25" s="1005">
        <v>0.90972222222222221</v>
      </c>
      <c r="I25" s="1104"/>
      <c r="J25" s="1104"/>
      <c r="K25" s="1145"/>
      <c r="L25" s="1145"/>
      <c r="M25" s="1145"/>
      <c r="N25" s="1104"/>
      <c r="O25" s="1145"/>
      <c r="P25" s="1328"/>
      <c r="Q25" s="1098" t="s">
        <v>106</v>
      </c>
      <c r="R25" s="1128" t="s">
        <v>38</v>
      </c>
      <c r="S25" s="1143">
        <v>0.64583333333333337</v>
      </c>
      <c r="T25" s="1090">
        <v>0.96527777777777779</v>
      </c>
      <c r="U25" s="1145"/>
      <c r="V25" s="1145"/>
      <c r="W25" s="1101">
        <v>0.79166666666666663</v>
      </c>
      <c r="X25" s="1101">
        <v>8.3333333333333329E-2</v>
      </c>
      <c r="Y25" s="1005">
        <v>0.75</v>
      </c>
      <c r="Z25" s="1468">
        <v>4.1666666666666664E-2</v>
      </c>
      <c r="AA25" s="1284"/>
      <c r="AB25" s="1104"/>
      <c r="AC25" s="1145"/>
      <c r="AD25" s="1104"/>
      <c r="AE25" s="1213"/>
      <c r="AF25" s="1460"/>
      <c r="AG25" s="1098" t="s">
        <v>106</v>
      </c>
      <c r="AH25" s="1128" t="s">
        <v>38</v>
      </c>
      <c r="AI25" s="1143">
        <v>0.6875</v>
      </c>
      <c r="AJ25" s="1090">
        <v>0</v>
      </c>
      <c r="AK25" s="1090">
        <v>0.6875</v>
      </c>
      <c r="AL25" s="1090">
        <v>0</v>
      </c>
      <c r="AM25" s="1524">
        <v>0.54166666666666663</v>
      </c>
      <c r="AN25" s="1524">
        <v>0.83333333333333337</v>
      </c>
      <c r="AO25" s="1135">
        <v>0.45833333333333331</v>
      </c>
      <c r="AP25" s="1005">
        <v>0.79166666666666663</v>
      </c>
      <c r="AQ25" s="1284"/>
      <c r="AR25" s="1104"/>
      <c r="AS25" s="1145"/>
      <c r="AT25" s="1104"/>
      <c r="AU25" s="1145"/>
      <c r="AV25" s="1271"/>
      <c r="AW25" s="1911" t="s">
        <v>106</v>
      </c>
      <c r="AX25" s="1128" t="s">
        <v>38</v>
      </c>
      <c r="AY25" s="1670"/>
      <c r="AZ25" s="1674"/>
      <c r="BA25" s="1090">
        <v>0.6875</v>
      </c>
      <c r="BB25" s="1090">
        <v>0</v>
      </c>
      <c r="BC25" s="1309">
        <v>0.625</v>
      </c>
      <c r="BD25" s="1309">
        <v>0.94444444444444442</v>
      </c>
      <c r="BE25" s="1271">
        <v>0.625</v>
      </c>
      <c r="BF25" s="1104">
        <v>0.94444444444444442</v>
      </c>
      <c r="BG25" s="1677"/>
      <c r="BH25" s="1678"/>
      <c r="BI25" s="1671"/>
      <c r="BJ25" s="1678"/>
      <c r="BK25" s="1090">
        <v>0.6875</v>
      </c>
      <c r="BL25" s="1135">
        <v>0</v>
      </c>
      <c r="BM25" s="1921" t="s">
        <v>106</v>
      </c>
      <c r="BN25" s="1128" t="s">
        <v>38</v>
      </c>
      <c r="BO25" s="1261">
        <v>0.6875</v>
      </c>
      <c r="BP25" s="1261">
        <v>0.96527777777777779</v>
      </c>
      <c r="BQ25" s="1145"/>
      <c r="BR25" s="1145"/>
      <c r="BS25" s="1092">
        <v>0.52083333333333337</v>
      </c>
      <c r="BT25" s="1092">
        <v>0.85416666666666663</v>
      </c>
      <c r="BU25" s="1005">
        <v>0.4375</v>
      </c>
      <c r="BV25" s="1005">
        <v>0.77083333333333337</v>
      </c>
      <c r="BW25" s="1145"/>
      <c r="BX25" s="1104"/>
      <c r="BY25" s="1145"/>
      <c r="BZ25" s="1104"/>
      <c r="CA25" s="1090">
        <v>0.6875</v>
      </c>
      <c r="CB25" s="1005">
        <v>0</v>
      </c>
    </row>
    <row r="26" spans="1:80" x14ac:dyDescent="0.45">
      <c r="A26" s="1321" t="s">
        <v>107</v>
      </c>
      <c r="B26" s="1432" t="s">
        <v>38</v>
      </c>
      <c r="C26" s="1244">
        <v>0.6875</v>
      </c>
      <c r="D26" s="1090">
        <v>0.96527777777777779</v>
      </c>
      <c r="E26" s="1145"/>
      <c r="F26" s="1145"/>
      <c r="G26" s="1092">
        <v>0.6875</v>
      </c>
      <c r="H26" s="1092">
        <v>0</v>
      </c>
      <c r="I26" s="1005">
        <v>0.6875</v>
      </c>
      <c r="J26" s="1005">
        <v>0</v>
      </c>
      <c r="K26" s="1145"/>
      <c r="L26" s="1104"/>
      <c r="M26" s="1145"/>
      <c r="N26" s="1104"/>
      <c r="O26" s="1145"/>
      <c r="P26" s="1328"/>
      <c r="Q26" s="1098" t="s">
        <v>107</v>
      </c>
      <c r="R26" s="1128" t="s">
        <v>38</v>
      </c>
      <c r="S26" s="1464"/>
      <c r="T26" s="1213"/>
      <c r="U26" s="1090">
        <v>0.6875</v>
      </c>
      <c r="V26" s="1090">
        <v>1</v>
      </c>
      <c r="W26" s="1308">
        <v>0.66666666666666663</v>
      </c>
      <c r="X26" s="1308">
        <v>0.97916666666666663</v>
      </c>
      <c r="Y26" s="1308">
        <v>0.67708333333333337</v>
      </c>
      <c r="Z26" s="1469">
        <v>0.98958333333333337</v>
      </c>
      <c r="AA26" s="1284"/>
      <c r="AB26" s="1104"/>
      <c r="AC26" s="1261">
        <v>0.72916666666666663</v>
      </c>
      <c r="AD26" s="1262">
        <v>0</v>
      </c>
      <c r="AE26" s="1145"/>
      <c r="AF26" s="1104"/>
      <c r="AG26" s="1098" t="s">
        <v>107</v>
      </c>
      <c r="AH26" s="1128" t="s">
        <v>38</v>
      </c>
      <c r="AI26" s="1143">
        <v>0.67708333333333337</v>
      </c>
      <c r="AJ26" s="1090">
        <v>0.98958333333333337</v>
      </c>
      <c r="AK26" s="1090">
        <v>0.67708333333333337</v>
      </c>
      <c r="AL26" s="1090">
        <v>0.98958333333333337</v>
      </c>
      <c r="AM26" s="1284"/>
      <c r="AN26" s="1104"/>
      <c r="AO26" s="1005">
        <v>0.58333333333333337</v>
      </c>
      <c r="AP26" s="1005">
        <v>0.90972222222222221</v>
      </c>
      <c r="AQ26" s="1284"/>
      <c r="AR26" s="1104"/>
      <c r="AS26" s="1145"/>
      <c r="AT26" s="1104"/>
      <c r="AU26" s="1145"/>
      <c r="AV26" s="1271"/>
      <c r="AW26" s="1911" t="s">
        <v>107</v>
      </c>
      <c r="AX26" s="1128" t="s">
        <v>38</v>
      </c>
      <c r="AY26" s="1670"/>
      <c r="AZ26" s="1671"/>
      <c r="BA26" s="1090">
        <v>0.6875</v>
      </c>
      <c r="BB26" s="1090">
        <v>0</v>
      </c>
      <c r="BC26" s="1244">
        <v>0.66666666666666663</v>
      </c>
      <c r="BD26" s="1005">
        <v>0.97916666666666663</v>
      </c>
      <c r="BE26" s="1104">
        <v>0.66666666666666663</v>
      </c>
      <c r="BF26" s="1104">
        <v>0.97916666666666663</v>
      </c>
      <c r="BG26" s="1677"/>
      <c r="BH26" s="1678"/>
      <c r="BI26" s="1671"/>
      <c r="BJ26" s="1678"/>
      <c r="BK26" s="1090">
        <v>0.64583333333333337</v>
      </c>
      <c r="BL26" s="1135">
        <v>0.96527777777777779</v>
      </c>
      <c r="BM26" s="1921" t="s">
        <v>107</v>
      </c>
      <c r="BN26" s="1128" t="s">
        <v>38</v>
      </c>
      <c r="BO26" s="1145"/>
      <c r="BP26" s="1145"/>
      <c r="BQ26" s="1090">
        <v>0.64583333333333337</v>
      </c>
      <c r="BR26" s="1090">
        <v>0.96527777777777779</v>
      </c>
      <c r="BS26" s="1261">
        <v>0.66666666666666663</v>
      </c>
      <c r="BT26" s="1262">
        <v>0.94444444444444442</v>
      </c>
      <c r="BU26" s="1005">
        <v>0.625</v>
      </c>
      <c r="BV26" s="1005">
        <v>0.94444444444444442</v>
      </c>
      <c r="BW26" s="1145"/>
      <c r="BX26" s="1104"/>
      <c r="BY26" s="1145"/>
      <c r="BZ26" s="1104"/>
      <c r="CA26" s="1090">
        <v>0.64583333333333337</v>
      </c>
      <c r="CB26" s="1005">
        <v>0.96527777777777779</v>
      </c>
    </row>
    <row r="27" spans="1:80" x14ac:dyDescent="0.45">
      <c r="A27" s="1322" t="s">
        <v>101</v>
      </c>
      <c r="B27" s="1433" t="s">
        <v>38</v>
      </c>
      <c r="C27" s="1284"/>
      <c r="D27" s="1145"/>
      <c r="E27" s="1090">
        <v>0.45833333333333331</v>
      </c>
      <c r="F27" s="1090">
        <v>0.79166666666666663</v>
      </c>
      <c r="G27" s="1092">
        <v>0.54166666666666663</v>
      </c>
      <c r="H27" s="1092">
        <v>0.875</v>
      </c>
      <c r="I27" s="1309">
        <v>0.54166666666666663</v>
      </c>
      <c r="J27" s="1309">
        <v>0.875</v>
      </c>
      <c r="K27" s="1145"/>
      <c r="L27" s="1104"/>
      <c r="M27" s="1145"/>
      <c r="N27" s="1104"/>
      <c r="O27" s="1090">
        <v>0.72916666666666663</v>
      </c>
      <c r="P27" s="1327">
        <v>0</v>
      </c>
      <c r="Q27" s="1167" t="s">
        <v>108</v>
      </c>
      <c r="R27" s="1238" t="s">
        <v>38</v>
      </c>
      <c r="S27" s="1210"/>
      <c r="T27" s="1145"/>
      <c r="U27" s="1261">
        <v>0.45833333333333331</v>
      </c>
      <c r="V27" s="1261">
        <v>0.79166666666666663</v>
      </c>
      <c r="W27" s="1090">
        <v>0.54166666666666663</v>
      </c>
      <c r="X27" s="1090">
        <v>0.875</v>
      </c>
      <c r="Y27" s="1332">
        <v>0.54166666666666663</v>
      </c>
      <c r="Z27" s="1501">
        <v>0.875</v>
      </c>
      <c r="AA27" s="1284"/>
      <c r="AB27" s="1104"/>
      <c r="AC27" s="1145"/>
      <c r="AD27" s="1145"/>
      <c r="AE27" s="1145"/>
      <c r="AF27" s="1145"/>
      <c r="AG27" s="1167" t="s">
        <v>108</v>
      </c>
      <c r="AH27" s="1238" t="s">
        <v>38</v>
      </c>
      <c r="AI27" s="1143">
        <v>0.67708333333333337</v>
      </c>
      <c r="AJ27" s="1090">
        <v>0.98958333333333337</v>
      </c>
      <c r="AK27" s="1090">
        <v>0.67708333333333337</v>
      </c>
      <c r="AL27" s="1090">
        <v>0.98958333333333337</v>
      </c>
      <c r="AM27" s="1261">
        <v>0.72916666666666663</v>
      </c>
      <c r="AN27" s="1261">
        <v>0</v>
      </c>
      <c r="AO27" s="1481">
        <v>0.67708333333333337</v>
      </c>
      <c r="AP27" s="1090">
        <v>0.98958333333333337</v>
      </c>
      <c r="AQ27" s="1284"/>
      <c r="AR27" s="1104"/>
      <c r="AS27" s="1145"/>
      <c r="AT27" s="1145"/>
      <c r="AU27" s="1145"/>
      <c r="AV27" s="1900"/>
      <c r="AW27" s="1912" t="s">
        <v>108</v>
      </c>
      <c r="AX27" s="1238" t="s">
        <v>38</v>
      </c>
      <c r="AY27" s="1143">
        <v>0.64583333333333337</v>
      </c>
      <c r="AZ27" s="1090">
        <v>0.96527777777777779</v>
      </c>
      <c r="BA27" s="1671"/>
      <c r="BB27" s="1671"/>
      <c r="BC27" s="1090">
        <v>0.58333333333333337</v>
      </c>
      <c r="BD27" s="1090">
        <v>0.90972222222222221</v>
      </c>
      <c r="BE27" s="1900">
        <v>0.58333333333333337</v>
      </c>
      <c r="BF27" s="1145">
        <v>0.90972222222222221</v>
      </c>
      <c r="BG27" s="1677"/>
      <c r="BH27" s="1678"/>
      <c r="BI27" s="1671"/>
      <c r="BJ27" s="1671"/>
      <c r="BK27" s="1090">
        <v>0.54166666666666663</v>
      </c>
      <c r="BL27" s="1481">
        <v>0.875</v>
      </c>
      <c r="BM27" s="1922" t="s">
        <v>108</v>
      </c>
      <c r="BN27" s="1238" t="s">
        <v>38</v>
      </c>
      <c r="BO27" s="1090">
        <v>0.52083333333333337</v>
      </c>
      <c r="BP27" s="1090">
        <v>0.85416666666666663</v>
      </c>
      <c r="BQ27" s="1145"/>
      <c r="BR27" s="1145"/>
      <c r="BS27" s="1332">
        <v>0.66666666666666663</v>
      </c>
      <c r="BT27" s="1332">
        <v>0.97916666666666663</v>
      </c>
      <c r="BU27" s="1261">
        <v>0.70833333333333337</v>
      </c>
      <c r="BV27" s="1261">
        <v>0.97916666666666663</v>
      </c>
      <c r="BW27" s="1145"/>
      <c r="BX27" s="1104"/>
      <c r="BY27" s="1145"/>
      <c r="BZ27" s="1145"/>
      <c r="CA27" s="1090">
        <v>0.54166666666666663</v>
      </c>
      <c r="CB27" s="1090">
        <v>0.875</v>
      </c>
    </row>
    <row r="28" spans="1:80" x14ac:dyDescent="0.45">
      <c r="A28" s="1427" t="s">
        <v>108</v>
      </c>
      <c r="B28" s="1433" t="s">
        <v>38</v>
      </c>
      <c r="C28" s="1244">
        <v>0.58333333333333337</v>
      </c>
      <c r="D28" s="1090">
        <v>0.90972222222222221</v>
      </c>
      <c r="E28" s="1145"/>
      <c r="F28" s="1145"/>
      <c r="G28" s="1090">
        <v>0.625</v>
      </c>
      <c r="H28" s="1090">
        <v>0.94444444444444442</v>
      </c>
      <c r="I28" s="1092">
        <v>0.54166666666666663</v>
      </c>
      <c r="J28" s="1092">
        <v>0.875</v>
      </c>
      <c r="K28" s="1145"/>
      <c r="L28" s="1145"/>
      <c r="M28" s="1145"/>
      <c r="N28" s="1145"/>
      <c r="O28" s="1145"/>
      <c r="P28" s="1404"/>
      <c r="Q28" s="1167" t="s">
        <v>109</v>
      </c>
      <c r="R28" s="1238" t="s">
        <v>38</v>
      </c>
      <c r="S28" s="1210"/>
      <c r="T28" s="1145"/>
      <c r="U28" s="1261">
        <v>0.45833333333333331</v>
      </c>
      <c r="V28" s="1261">
        <v>0.79166666666666663</v>
      </c>
      <c r="W28" s="1090">
        <v>0.64583333333333337</v>
      </c>
      <c r="X28" s="1090">
        <v>0.96527777777777779</v>
      </c>
      <c r="Y28" s="1090">
        <v>0.58333333333333337</v>
      </c>
      <c r="Z28" s="1502">
        <v>0.90972222222222221</v>
      </c>
      <c r="AA28" s="1284"/>
      <c r="AB28" s="1104"/>
      <c r="AC28" s="1145"/>
      <c r="AD28" s="1145"/>
      <c r="AE28" s="1145"/>
      <c r="AF28" s="1145"/>
      <c r="AG28" s="1167" t="s">
        <v>109</v>
      </c>
      <c r="AH28" s="1238" t="s">
        <v>38</v>
      </c>
      <c r="AI28" s="1143">
        <v>0.67708333333333337</v>
      </c>
      <c r="AJ28" s="1090">
        <v>0.98958333333333337</v>
      </c>
      <c r="AK28" s="1090">
        <v>0.67708333333333337</v>
      </c>
      <c r="AL28" s="1090">
        <v>0.98958333333333337</v>
      </c>
      <c r="AM28" s="1261">
        <v>0.72916666666666663</v>
      </c>
      <c r="AN28" s="1261">
        <v>0</v>
      </c>
      <c r="AO28" s="1481">
        <v>0.67708333333333337</v>
      </c>
      <c r="AP28" s="1090">
        <v>0.98958333333333337</v>
      </c>
      <c r="AQ28" s="1284"/>
      <c r="AR28" s="1104"/>
      <c r="AS28" s="1145"/>
      <c r="AT28" s="1145"/>
      <c r="AU28" s="1145"/>
      <c r="AV28" s="1900"/>
      <c r="AW28" s="1912" t="s">
        <v>109</v>
      </c>
      <c r="AX28" s="1238" t="s">
        <v>38</v>
      </c>
      <c r="AY28" s="1670"/>
      <c r="AZ28" s="1671"/>
      <c r="BA28" s="1090">
        <v>0.64583333333333337</v>
      </c>
      <c r="BB28" s="1090">
        <v>0.96527777777777779</v>
      </c>
      <c r="BC28" s="1090">
        <v>0.64583333333333337</v>
      </c>
      <c r="BD28" s="1090">
        <v>0.96527777777777779</v>
      </c>
      <c r="BE28" s="1900">
        <v>0.64583333333333337</v>
      </c>
      <c r="BF28" s="1145">
        <v>0.96527777777777779</v>
      </c>
      <c r="BG28" s="1677"/>
      <c r="BH28" s="1678"/>
      <c r="BI28" s="1671"/>
      <c r="BJ28" s="1671"/>
      <c r="BK28" s="1090">
        <v>0.54166666666666663</v>
      </c>
      <c r="BL28" s="1481">
        <v>0.875</v>
      </c>
      <c r="BM28" s="1922" t="s">
        <v>109</v>
      </c>
      <c r="BN28" s="1238" t="s">
        <v>38</v>
      </c>
      <c r="BO28" s="1145"/>
      <c r="BP28" s="1145"/>
      <c r="BQ28" s="1261">
        <v>0.54166666666666663</v>
      </c>
      <c r="BR28" s="1261">
        <v>0.83333333333333337</v>
      </c>
      <c r="BS28" s="1005">
        <v>0.45833333333333331</v>
      </c>
      <c r="BT28" s="1005">
        <v>0.79166666666666663</v>
      </c>
      <c r="BU28" s="1005">
        <v>0.45833333333333331</v>
      </c>
      <c r="BV28" s="1005">
        <v>0.79166666666666663</v>
      </c>
      <c r="BW28" s="1145"/>
      <c r="BX28" s="1104"/>
      <c r="BY28" s="1145"/>
      <c r="BZ28" s="1145"/>
      <c r="CA28" s="1090">
        <v>0.54166666666666663</v>
      </c>
      <c r="CB28" s="1090">
        <v>0.875</v>
      </c>
    </row>
    <row r="29" spans="1:80" x14ac:dyDescent="0.45">
      <c r="A29" s="1427" t="s">
        <v>109</v>
      </c>
      <c r="B29" s="1433" t="s">
        <v>38</v>
      </c>
      <c r="C29" s="1284"/>
      <c r="D29" s="1145"/>
      <c r="E29" s="1090">
        <v>0.67708333333333337</v>
      </c>
      <c r="F29" s="1090">
        <v>0.98958333333333337</v>
      </c>
      <c r="G29" s="1332">
        <v>0.64583333333333337</v>
      </c>
      <c r="H29" s="1332">
        <v>0.96527777777777779</v>
      </c>
      <c r="I29" s="1090">
        <v>0.64583333333333337</v>
      </c>
      <c r="J29" s="1090">
        <v>0.96527777777777779</v>
      </c>
      <c r="K29" s="1145"/>
      <c r="L29" s="1145"/>
      <c r="M29" s="1145"/>
      <c r="N29" s="1145"/>
      <c r="O29" s="1145"/>
      <c r="P29" s="1404"/>
      <c r="Q29" s="1165" t="s">
        <v>110</v>
      </c>
      <c r="R29" s="1238" t="s">
        <v>38</v>
      </c>
      <c r="S29" s="1143">
        <v>0.54166666666666663</v>
      </c>
      <c r="T29" s="1090">
        <v>0.875</v>
      </c>
      <c r="U29" s="1261">
        <v>0.45833333333333331</v>
      </c>
      <c r="V29" s="1261">
        <v>0.75</v>
      </c>
      <c r="W29" s="1090">
        <v>0.66666666666666663</v>
      </c>
      <c r="X29" s="1090">
        <v>0.97916666666666663</v>
      </c>
      <c r="Y29" s="1090">
        <v>0.66666666666666663</v>
      </c>
      <c r="Z29" s="1502">
        <v>0.97916666666666663</v>
      </c>
      <c r="AA29" s="1284"/>
      <c r="AB29" s="1145"/>
      <c r="AC29" s="1145"/>
      <c r="AD29" s="1145"/>
      <c r="AE29" s="1145"/>
      <c r="AF29" s="1145"/>
      <c r="AG29" s="1165" t="s">
        <v>110</v>
      </c>
      <c r="AH29" s="1238" t="s">
        <v>38</v>
      </c>
      <c r="AI29" s="1143">
        <v>0.58333333333333337</v>
      </c>
      <c r="AJ29" s="1090">
        <v>0.90972222222222221</v>
      </c>
      <c r="AK29" s="1090">
        <v>0.58333333333333337</v>
      </c>
      <c r="AL29" s="1090">
        <v>0.90972222222222221</v>
      </c>
      <c r="AM29" s="1261">
        <v>0.58333333333333337</v>
      </c>
      <c r="AN29" s="1261">
        <v>0.875</v>
      </c>
      <c r="AO29" s="1481">
        <v>0.54166666666666663</v>
      </c>
      <c r="AP29" s="1090">
        <v>0.875</v>
      </c>
      <c r="AQ29" s="1284"/>
      <c r="AR29" s="1145"/>
      <c r="AS29" s="1145"/>
      <c r="AT29" s="1145"/>
      <c r="AU29" s="1145"/>
      <c r="AV29" s="1900"/>
      <c r="AW29" s="1913" t="s">
        <v>110</v>
      </c>
      <c r="AX29" s="1238" t="s">
        <v>38</v>
      </c>
      <c r="AY29" s="1143">
        <v>0.67708333333333337</v>
      </c>
      <c r="AZ29" s="1090">
        <v>0.98958333333333337</v>
      </c>
      <c r="BA29" s="1671"/>
      <c r="BB29" s="1671"/>
      <c r="BC29" s="1090">
        <v>0.58333333333333337</v>
      </c>
      <c r="BD29" s="1090">
        <v>0.90972222222222221</v>
      </c>
      <c r="BE29" s="1900">
        <v>0.58333333333333337</v>
      </c>
      <c r="BF29" s="1145">
        <v>0.90972222222222221</v>
      </c>
      <c r="BG29" s="1677"/>
      <c r="BH29" s="1671"/>
      <c r="BI29" s="1671"/>
      <c r="BJ29" s="1671"/>
      <c r="BK29" s="1090">
        <v>0.54166666666666663</v>
      </c>
      <c r="BL29" s="1481">
        <v>0.875</v>
      </c>
      <c r="BM29" s="1923" t="s">
        <v>110</v>
      </c>
      <c r="BN29" s="1238" t="s">
        <v>38</v>
      </c>
      <c r="BO29" s="1307">
        <v>0.64583333333333337</v>
      </c>
      <c r="BP29" s="1307">
        <v>0.96527777777777779</v>
      </c>
      <c r="BQ29" s="1145"/>
      <c r="BR29" s="1145"/>
      <c r="BS29" s="1090">
        <v>0.6875</v>
      </c>
      <c r="BT29" s="1090">
        <v>0</v>
      </c>
      <c r="BU29" s="1261">
        <v>0.70833333333333337</v>
      </c>
      <c r="BV29" s="1261">
        <v>0</v>
      </c>
      <c r="BW29" s="1145"/>
      <c r="BX29" s="1145"/>
      <c r="BY29" s="1145"/>
      <c r="BZ29" s="1145"/>
      <c r="CA29" s="1090">
        <v>0.54166666666666663</v>
      </c>
      <c r="CB29" s="1090">
        <v>0.875</v>
      </c>
    </row>
    <row r="30" spans="1:80" x14ac:dyDescent="0.45">
      <c r="A30" s="1322" t="s">
        <v>110</v>
      </c>
      <c r="B30" s="1433" t="s">
        <v>38</v>
      </c>
      <c r="C30" s="1429">
        <v>0.45833333333333331</v>
      </c>
      <c r="D30" s="1261">
        <v>0.75</v>
      </c>
      <c r="E30" s="1090">
        <v>0.66666666666666663</v>
      </c>
      <c r="F30" s="1090">
        <v>0.97916666666666663</v>
      </c>
      <c r="G30" s="1090">
        <v>0.64583333333333337</v>
      </c>
      <c r="H30" s="1090">
        <v>0.96527777777777779</v>
      </c>
      <c r="I30" s="1090">
        <v>0.64583333333333337</v>
      </c>
      <c r="J30" s="1090">
        <v>0.96527777777777779</v>
      </c>
      <c r="K30" s="1145"/>
      <c r="L30" s="1145"/>
      <c r="M30" s="1145"/>
      <c r="N30" s="1145"/>
      <c r="O30" s="1145"/>
      <c r="P30" s="1404"/>
      <c r="Q30" s="1165" t="s">
        <v>111</v>
      </c>
      <c r="R30" s="1238" t="s">
        <v>38</v>
      </c>
      <c r="S30" s="1210"/>
      <c r="T30" s="1145"/>
      <c r="U30" s="1261">
        <v>0.45833333333333331</v>
      </c>
      <c r="V30" s="1261">
        <v>0.79166666666666663</v>
      </c>
      <c r="W30" s="1090">
        <v>0.54166666666666663</v>
      </c>
      <c r="X30" s="1090">
        <v>0.875</v>
      </c>
      <c r="Y30" s="1332">
        <v>0.54166666666666663</v>
      </c>
      <c r="Z30" s="1501">
        <v>0.875</v>
      </c>
      <c r="AA30" s="1284"/>
      <c r="AB30" s="1145"/>
      <c r="AC30" s="1145"/>
      <c r="AD30" s="1145"/>
      <c r="AE30" s="1145"/>
      <c r="AF30" s="1145"/>
      <c r="AG30" s="1165" t="s">
        <v>111</v>
      </c>
      <c r="AH30" s="1238" t="s">
        <v>38</v>
      </c>
      <c r="AI30" s="1532">
        <v>0.58333333333333337</v>
      </c>
      <c r="AJ30" s="1307">
        <v>0.90972222222222221</v>
      </c>
      <c r="AK30" s="1307">
        <v>0.58333333333333337</v>
      </c>
      <c r="AL30" s="1307">
        <v>0.90972222222222221</v>
      </c>
      <c r="AM30" s="1261">
        <v>0.58333333333333337</v>
      </c>
      <c r="AN30" s="1261">
        <v>0.875</v>
      </c>
      <c r="AO30" s="1533">
        <v>0.54166666666666663</v>
      </c>
      <c r="AP30" s="1438">
        <v>0.875</v>
      </c>
      <c r="AQ30" s="1284"/>
      <c r="AR30" s="1145"/>
      <c r="AS30" s="1145"/>
      <c r="AT30" s="1145"/>
      <c r="AU30" s="1145"/>
      <c r="AV30" s="1900"/>
      <c r="AW30" s="1913" t="s">
        <v>111</v>
      </c>
      <c r="AX30" s="1238" t="s">
        <v>38</v>
      </c>
      <c r="AY30" s="1795" t="s">
        <v>121</v>
      </c>
      <c r="AZ30" s="1438" t="s">
        <v>121</v>
      </c>
      <c r="BA30" s="1438" t="s">
        <v>121</v>
      </c>
      <c r="BB30" s="1438" t="s">
        <v>121</v>
      </c>
      <c r="BC30" s="1438" t="s">
        <v>121</v>
      </c>
      <c r="BD30" s="1438" t="s">
        <v>121</v>
      </c>
      <c r="BE30" s="1671"/>
      <c r="BF30" s="1671"/>
      <c r="BG30" s="1671"/>
      <c r="BH30" s="1671"/>
      <c r="BI30" s="1671"/>
      <c r="BJ30" s="1671"/>
      <c r="BK30" s="1671"/>
      <c r="BL30" s="1674"/>
      <c r="BM30" s="1923" t="s">
        <v>111</v>
      </c>
      <c r="BN30" s="1238" t="s">
        <v>38</v>
      </c>
      <c r="BO30" s="1090">
        <v>0.625</v>
      </c>
      <c r="BP30" s="1090">
        <v>0.94444444444444442</v>
      </c>
      <c r="BQ30" s="1090">
        <v>0.66666666666666663</v>
      </c>
      <c r="BR30" s="1090">
        <v>0.97916666666666663</v>
      </c>
      <c r="BS30" s="1261">
        <v>0.72916666666666663</v>
      </c>
      <c r="BT30" s="1261">
        <v>0</v>
      </c>
      <c r="BU30" s="1090">
        <v>0.6875</v>
      </c>
      <c r="BV30" s="1090">
        <v>0</v>
      </c>
      <c r="BW30" s="1145"/>
      <c r="BX30" s="1145"/>
      <c r="BY30" s="1145"/>
      <c r="BZ30" s="1145"/>
      <c r="CA30" s="1145"/>
      <c r="CB30" s="1145"/>
    </row>
    <row r="31" spans="1:80" x14ac:dyDescent="0.45">
      <c r="A31" s="1322" t="s">
        <v>111</v>
      </c>
      <c r="B31" s="1433" t="s">
        <v>38</v>
      </c>
      <c r="C31" s="1429">
        <v>0.45833333333333331</v>
      </c>
      <c r="D31" s="1261">
        <v>0.79166666666666663</v>
      </c>
      <c r="E31" s="1213"/>
      <c r="F31" s="1213"/>
      <c r="G31" s="1332">
        <v>0.58333333333333337</v>
      </c>
      <c r="H31" s="1332">
        <v>0.90972222222222221</v>
      </c>
      <c r="I31" s="1332">
        <v>0.54166666666666663</v>
      </c>
      <c r="J31" s="1332">
        <v>0.875</v>
      </c>
      <c r="K31" s="1145"/>
      <c r="L31" s="1145"/>
      <c r="M31" s="1145"/>
      <c r="N31" s="1145"/>
      <c r="O31" s="1145"/>
      <c r="P31" s="1404"/>
      <c r="Q31" s="1165" t="s">
        <v>112</v>
      </c>
      <c r="R31" s="1238" t="s">
        <v>38</v>
      </c>
      <c r="S31" s="1210"/>
      <c r="T31" s="1145"/>
      <c r="U31" s="1261">
        <v>0.45833333333333331</v>
      </c>
      <c r="V31" s="1261">
        <v>0.79166666666666663</v>
      </c>
      <c r="W31" s="1090">
        <v>0.67708333333333337</v>
      </c>
      <c r="X31" s="1090">
        <v>0.98958333333333337</v>
      </c>
      <c r="Y31" s="1090">
        <v>0.67708333333333337</v>
      </c>
      <c r="Z31" s="1502">
        <v>0.98958333333333337</v>
      </c>
      <c r="AA31" s="1284"/>
      <c r="AB31" s="1145"/>
      <c r="AC31" s="1145"/>
      <c r="AD31" s="1145"/>
      <c r="AE31" s="1145"/>
      <c r="AF31" s="1145"/>
      <c r="AG31" s="1165" t="s">
        <v>112</v>
      </c>
      <c r="AH31" s="1238" t="s">
        <v>38</v>
      </c>
      <c r="AI31" s="1143">
        <v>0.54166666666666663</v>
      </c>
      <c r="AJ31" s="1090">
        <v>0.875</v>
      </c>
      <c r="AK31" s="1090">
        <v>0.54166666666666663</v>
      </c>
      <c r="AL31" s="1090">
        <v>0.875</v>
      </c>
      <c r="AM31" s="1261">
        <v>0.54166666666666663</v>
      </c>
      <c r="AN31" s="1261">
        <v>0.83333333333333337</v>
      </c>
      <c r="AO31" s="1481">
        <v>0.54166666666666663</v>
      </c>
      <c r="AP31" s="1090">
        <v>0.875</v>
      </c>
      <c r="AQ31" s="1284"/>
      <c r="AR31" s="1145"/>
      <c r="AS31" s="1145"/>
      <c r="AT31" s="1145"/>
      <c r="AU31" s="1145"/>
      <c r="AV31" s="1900"/>
      <c r="AW31" s="1913" t="s">
        <v>112</v>
      </c>
      <c r="AX31" s="1238" t="s">
        <v>38</v>
      </c>
      <c r="AY31" s="1143">
        <v>0.66666666666666663</v>
      </c>
      <c r="AZ31" s="1090">
        <v>0.97916666666666663</v>
      </c>
      <c r="BA31" s="1671"/>
      <c r="BB31" s="1671"/>
      <c r="BC31" s="1090">
        <v>0.67708333333333337</v>
      </c>
      <c r="BD31" s="1090">
        <v>0.98958333333333337</v>
      </c>
      <c r="BE31" s="1900">
        <v>0.67708333333333337</v>
      </c>
      <c r="BF31" s="1145">
        <v>0.98958333333333337</v>
      </c>
      <c r="BG31" s="1677"/>
      <c r="BH31" s="1671"/>
      <c r="BI31" s="1671"/>
      <c r="BJ31" s="1671"/>
      <c r="BK31" s="1090">
        <v>0.54166666666666663</v>
      </c>
      <c r="BL31" s="1481">
        <v>0.875</v>
      </c>
      <c r="BM31" s="1923" t="s">
        <v>112</v>
      </c>
      <c r="BN31" s="1238" t="s">
        <v>38</v>
      </c>
      <c r="BO31" s="1261">
        <v>0.54166666666666663</v>
      </c>
      <c r="BP31" s="1261">
        <v>0.83333333333333337</v>
      </c>
      <c r="BQ31" s="1145"/>
      <c r="BR31" s="1145"/>
      <c r="BS31" s="1090">
        <v>0.6875</v>
      </c>
      <c r="BT31" s="1090">
        <v>0</v>
      </c>
      <c r="BU31" s="1090">
        <v>0.6875</v>
      </c>
      <c r="BV31" s="1090">
        <v>0</v>
      </c>
      <c r="BW31" s="1145"/>
      <c r="BX31" s="1145"/>
      <c r="BY31" s="1145"/>
      <c r="BZ31" s="1145"/>
      <c r="CA31" s="1090">
        <v>0.54166666666666663</v>
      </c>
      <c r="CB31" s="1090">
        <v>0.875</v>
      </c>
    </row>
    <row r="32" spans="1:80" x14ac:dyDescent="0.45">
      <c r="A32" s="1322" t="s">
        <v>112</v>
      </c>
      <c r="B32" s="1433" t="s">
        <v>38</v>
      </c>
      <c r="C32" s="1429">
        <v>0.45833333333333331</v>
      </c>
      <c r="D32" s="1261">
        <v>0.75</v>
      </c>
      <c r="E32" s="1090">
        <v>0.67708333333333337</v>
      </c>
      <c r="F32" s="1090">
        <v>0.98958333333333337</v>
      </c>
      <c r="G32" s="1090">
        <v>0.625</v>
      </c>
      <c r="H32" s="1090">
        <v>0.94444444444444442</v>
      </c>
      <c r="I32" s="1090">
        <v>0.54166666666666663</v>
      </c>
      <c r="J32" s="1090">
        <v>0.875</v>
      </c>
      <c r="K32" s="1145"/>
      <c r="L32" s="1145"/>
      <c r="M32" s="1145"/>
      <c r="N32" s="1145"/>
      <c r="O32" s="1145"/>
      <c r="P32" s="1404"/>
      <c r="Q32" s="1165" t="s">
        <v>113</v>
      </c>
      <c r="R32" s="1238" t="s">
        <v>38</v>
      </c>
      <c r="S32" s="1210"/>
      <c r="T32" s="1145"/>
      <c r="U32" s="1261">
        <v>0.45833333333333331</v>
      </c>
      <c r="V32" s="1261">
        <v>0.79166666666666663</v>
      </c>
      <c r="W32" s="1307">
        <v>0.625</v>
      </c>
      <c r="X32" s="1307">
        <v>0.94444444444444442</v>
      </c>
      <c r="Y32" s="1090">
        <v>0.58333333333333337</v>
      </c>
      <c r="Z32" s="1502">
        <v>0.90972222222222221</v>
      </c>
      <c r="AA32" s="1284"/>
      <c r="AB32" s="1145"/>
      <c r="AC32" s="1145"/>
      <c r="AD32" s="1145"/>
      <c r="AE32" s="1145"/>
      <c r="AF32" s="1145"/>
      <c r="AG32" s="1165" t="s">
        <v>113</v>
      </c>
      <c r="AH32" s="1238" t="s">
        <v>38</v>
      </c>
      <c r="AI32" s="1143">
        <v>0.67708333333333337</v>
      </c>
      <c r="AJ32" s="1090">
        <v>0.98958333333333337</v>
      </c>
      <c r="AK32" s="1090">
        <v>0.67708333333333337</v>
      </c>
      <c r="AL32" s="1090">
        <v>0.98958333333333337</v>
      </c>
      <c r="AM32" s="1261">
        <v>0.71875</v>
      </c>
      <c r="AN32" s="1261">
        <v>0.98958333333333337</v>
      </c>
      <c r="AO32" s="1481">
        <v>0.67708333333333337</v>
      </c>
      <c r="AP32" s="1090">
        <v>0.98958333333333337</v>
      </c>
      <c r="AQ32" s="1284"/>
      <c r="AR32" s="1145"/>
      <c r="AS32" s="1145"/>
      <c r="AT32" s="1145"/>
      <c r="AU32" s="1145"/>
      <c r="AV32" s="1900"/>
      <c r="AW32" s="1913" t="s">
        <v>113</v>
      </c>
      <c r="AX32" s="1238" t="s">
        <v>38</v>
      </c>
      <c r="AY32" s="1670"/>
      <c r="AZ32" s="1671"/>
      <c r="BA32" s="1090">
        <v>0.66666666666666663</v>
      </c>
      <c r="BB32" s="1090">
        <v>0.97916666666666663</v>
      </c>
      <c r="BC32" s="1090">
        <v>0.6875</v>
      </c>
      <c r="BD32" s="1090">
        <v>0</v>
      </c>
      <c r="BE32" s="1897">
        <v>0.45833333333333331</v>
      </c>
      <c r="BF32" s="1898">
        <v>0.79166666666666663</v>
      </c>
      <c r="BG32" s="1677"/>
      <c r="BH32" s="1671"/>
      <c r="BI32" s="1671"/>
      <c r="BJ32" s="1671"/>
      <c r="BK32" s="1671"/>
      <c r="BL32" s="1674"/>
      <c r="BM32" s="1923" t="s">
        <v>113</v>
      </c>
      <c r="BN32" s="1238" t="s">
        <v>38</v>
      </c>
      <c r="BO32" s="1332">
        <v>0.66666666666666663</v>
      </c>
      <c r="BP32" s="1332">
        <v>0.97916666666666663</v>
      </c>
      <c r="BQ32" s="1090">
        <v>0.66666666666666663</v>
      </c>
      <c r="BR32" s="1090">
        <v>0.97916666666666663</v>
      </c>
      <c r="BS32" s="1090">
        <v>0.67708333333333337</v>
      </c>
      <c r="BT32" s="1090">
        <v>0.98958333333333337</v>
      </c>
      <c r="BU32" s="1261">
        <v>0.71875</v>
      </c>
      <c r="BV32" s="1261">
        <v>0.98958333333333337</v>
      </c>
      <c r="BW32" s="1145"/>
      <c r="BX32" s="1145"/>
      <c r="BY32" s="1145"/>
      <c r="BZ32" s="1145"/>
      <c r="CA32" s="1145"/>
      <c r="CB32" s="1145"/>
    </row>
    <row r="33" spans="1:80" x14ac:dyDescent="0.45">
      <c r="A33" s="1322" t="s">
        <v>113</v>
      </c>
      <c r="B33" s="1433" t="s">
        <v>38</v>
      </c>
      <c r="C33" s="1429">
        <v>0.45833333333333331</v>
      </c>
      <c r="D33" s="1261">
        <v>0.75</v>
      </c>
      <c r="E33" s="1090">
        <v>0.64583333333333337</v>
      </c>
      <c r="F33" s="1090">
        <v>0.96527777777777779</v>
      </c>
      <c r="G33" s="1307">
        <v>0.66666666666666663</v>
      </c>
      <c r="H33" s="1307">
        <v>0.97916666666666663</v>
      </c>
      <c r="I33" s="1307">
        <v>0.54166666666666663</v>
      </c>
      <c r="J33" s="1307">
        <v>0.875</v>
      </c>
      <c r="K33" s="1145"/>
      <c r="L33" s="1145"/>
      <c r="M33" s="1145"/>
      <c r="N33" s="1145"/>
      <c r="O33" s="1145"/>
      <c r="P33" s="1404"/>
      <c r="Q33" s="1165" t="s">
        <v>114</v>
      </c>
      <c r="R33" s="1238" t="s">
        <v>38</v>
      </c>
      <c r="S33" s="1210"/>
      <c r="T33" s="1145"/>
      <c r="U33" s="1261">
        <v>0.45833333333333331</v>
      </c>
      <c r="V33" s="1261">
        <v>0.79166666666666663</v>
      </c>
      <c r="W33" s="1332">
        <v>0.64583333333333337</v>
      </c>
      <c r="X33" s="1332">
        <v>0.96527777777777779</v>
      </c>
      <c r="Y33" s="1307">
        <v>0.54166666666666663</v>
      </c>
      <c r="Z33" s="1503">
        <v>0.875</v>
      </c>
      <c r="AA33" s="1284"/>
      <c r="AB33" s="1145"/>
      <c r="AC33" s="1145"/>
      <c r="AD33" s="1145"/>
      <c r="AE33" s="1145"/>
      <c r="AF33" s="1145"/>
      <c r="AG33" s="1165" t="s">
        <v>114</v>
      </c>
      <c r="AH33" s="1238" t="s">
        <v>38</v>
      </c>
      <c r="AI33" s="1143">
        <v>0.54166666666666663</v>
      </c>
      <c r="AJ33" s="1090">
        <v>0.875</v>
      </c>
      <c r="AK33" s="1090">
        <v>0.54166666666666663</v>
      </c>
      <c r="AL33" s="1090">
        <v>0.875</v>
      </c>
      <c r="AM33" s="1261">
        <v>0.54166666666666663</v>
      </c>
      <c r="AN33" s="1261">
        <v>0.83333333333333337</v>
      </c>
      <c r="AO33" s="1481">
        <v>0.54166666666666663</v>
      </c>
      <c r="AP33" s="1090">
        <v>0.875</v>
      </c>
      <c r="AQ33" s="1284"/>
      <c r="AR33" s="1145"/>
      <c r="AS33" s="1145"/>
      <c r="AT33" s="1145"/>
      <c r="AU33" s="1145"/>
      <c r="AV33" s="1900"/>
      <c r="AW33" s="1913" t="s">
        <v>114</v>
      </c>
      <c r="AX33" s="1238" t="s">
        <v>38</v>
      </c>
      <c r="AY33" s="1143">
        <v>0.625</v>
      </c>
      <c r="AZ33" s="1090">
        <v>0.94444444444444442</v>
      </c>
      <c r="BA33" s="1677"/>
      <c r="BB33" s="1671"/>
      <c r="BC33" s="1090">
        <v>0.6875</v>
      </c>
      <c r="BD33" s="1090">
        <v>0</v>
      </c>
      <c r="BE33" s="1900">
        <v>0.54166666666666663</v>
      </c>
      <c r="BF33" s="1145">
        <v>0.875</v>
      </c>
      <c r="BG33" s="1677"/>
      <c r="BH33" s="1671"/>
      <c r="BI33" s="1671"/>
      <c r="BJ33" s="1671"/>
      <c r="BK33" s="1671"/>
      <c r="BL33" s="1674"/>
      <c r="BM33" s="1923" t="s">
        <v>114</v>
      </c>
      <c r="BN33" s="1238" t="s">
        <v>38</v>
      </c>
      <c r="BO33" s="1090">
        <v>0.54166666666666663</v>
      </c>
      <c r="BP33" s="1090">
        <v>0.875</v>
      </c>
      <c r="BQ33" s="1261">
        <v>0.58333333333333337</v>
      </c>
      <c r="BR33" s="1261">
        <v>0.875</v>
      </c>
      <c r="BS33" s="1090">
        <v>0.58333333333333337</v>
      </c>
      <c r="BT33" s="1090">
        <v>0.90972222222222221</v>
      </c>
      <c r="BU33" s="1307">
        <v>0.58333333333333337</v>
      </c>
      <c r="BV33" s="1307">
        <v>0.90972222222222221</v>
      </c>
      <c r="BW33" s="1145"/>
      <c r="BX33" s="1145"/>
      <c r="BY33" s="1145"/>
      <c r="BZ33" s="1145"/>
      <c r="CA33" s="1145"/>
      <c r="CB33" s="1145"/>
    </row>
    <row r="34" spans="1:80" x14ac:dyDescent="0.45">
      <c r="A34" s="1322" t="s">
        <v>114</v>
      </c>
      <c r="B34" s="1433" t="s">
        <v>38</v>
      </c>
      <c r="C34" s="1429">
        <v>0.45833333333333331</v>
      </c>
      <c r="D34" s="1261">
        <v>0.79166666666666663</v>
      </c>
      <c r="E34" s="1213"/>
      <c r="F34" s="1213"/>
      <c r="G34" s="1090">
        <v>0.66666666666666663</v>
      </c>
      <c r="H34" s="1090">
        <v>0.97916666666666663</v>
      </c>
      <c r="I34" s="1090">
        <v>0.66666666666666663</v>
      </c>
      <c r="J34" s="1090">
        <v>0.97916666666666663</v>
      </c>
      <c r="K34" s="1145"/>
      <c r="L34" s="1145"/>
      <c r="M34" s="1145"/>
      <c r="N34" s="1145"/>
      <c r="O34" s="1145"/>
      <c r="P34" s="1404"/>
      <c r="Q34" s="1165" t="s">
        <v>115</v>
      </c>
      <c r="R34" s="1238" t="s">
        <v>38</v>
      </c>
      <c r="S34" s="1210"/>
      <c r="T34" s="1145"/>
      <c r="U34" s="1261">
        <v>0.45833333333333331</v>
      </c>
      <c r="V34" s="1261">
        <v>0.79166666666666663</v>
      </c>
      <c r="W34" s="1090">
        <v>0.54166666666666663</v>
      </c>
      <c r="X34" s="1090">
        <v>0.875</v>
      </c>
      <c r="Y34" s="1090">
        <v>0.64583333333333337</v>
      </c>
      <c r="Z34" s="1502">
        <v>0.96527777777777779</v>
      </c>
      <c r="AA34" s="1284"/>
      <c r="AB34" s="1145"/>
      <c r="AC34" s="1145"/>
      <c r="AD34" s="1145"/>
      <c r="AE34" s="1145"/>
      <c r="AF34" s="1145"/>
      <c r="AG34" s="1165" t="s">
        <v>115</v>
      </c>
      <c r="AH34" s="1238" t="s">
        <v>38</v>
      </c>
      <c r="AI34" s="1143">
        <v>0.54166666666666663</v>
      </c>
      <c r="AJ34" s="1090">
        <v>0.875</v>
      </c>
      <c r="AK34" s="1090">
        <v>0.54166666666666663</v>
      </c>
      <c r="AL34" s="1090">
        <v>0.875</v>
      </c>
      <c r="AM34" s="1261">
        <v>0.54166666666666663</v>
      </c>
      <c r="AN34" s="1261">
        <v>0.83333333333333337</v>
      </c>
      <c r="AO34" s="1481">
        <v>0.54166666666666663</v>
      </c>
      <c r="AP34" s="1090">
        <v>0.875</v>
      </c>
      <c r="AQ34" s="1284"/>
      <c r="AR34" s="1145"/>
      <c r="AS34" s="1145"/>
      <c r="AT34" s="1145"/>
      <c r="AU34" s="1145"/>
      <c r="AV34" s="1900"/>
      <c r="AW34" s="1913" t="s">
        <v>115</v>
      </c>
      <c r="AX34" s="1238" t="s">
        <v>38</v>
      </c>
      <c r="AY34" s="1670"/>
      <c r="AZ34" s="1671"/>
      <c r="BA34" s="1090">
        <v>0.64583333333333337</v>
      </c>
      <c r="BB34" s="1090">
        <v>0.96527777777777779</v>
      </c>
      <c r="BC34" s="1090">
        <v>0.66666666666666663</v>
      </c>
      <c r="BD34" s="1090">
        <v>0.97916666666666663</v>
      </c>
      <c r="BE34" s="1900">
        <v>0.66666666666666663</v>
      </c>
      <c r="BF34" s="1145">
        <v>0.97916666666666663</v>
      </c>
      <c r="BG34" s="1677"/>
      <c r="BH34" s="1671"/>
      <c r="BI34" s="1671"/>
      <c r="BJ34" s="1671"/>
      <c r="BK34" s="1090">
        <v>0.54166666666666663</v>
      </c>
      <c r="BL34" s="1481">
        <v>0.875</v>
      </c>
      <c r="BM34" s="1923" t="s">
        <v>115</v>
      </c>
      <c r="BN34" s="1238" t="s">
        <v>38</v>
      </c>
      <c r="BO34" s="1145"/>
      <c r="BP34" s="1145"/>
      <c r="BQ34" s="1090">
        <v>0.66666666666666663</v>
      </c>
      <c r="BR34" s="1090">
        <v>0.97916666666666663</v>
      </c>
      <c r="BS34" s="1090">
        <v>0.66666666666666663</v>
      </c>
      <c r="BT34" s="1090">
        <v>0.97916666666666663</v>
      </c>
      <c r="BU34" s="1261">
        <v>0.70833333333333337</v>
      </c>
      <c r="BV34" s="1261">
        <v>0.97916666666666663</v>
      </c>
      <c r="BW34" s="1145"/>
      <c r="BX34" s="1145"/>
      <c r="BY34" s="1145"/>
      <c r="BZ34" s="1145"/>
      <c r="CA34" s="1090">
        <v>0.54166666666666663</v>
      </c>
      <c r="CB34" s="1090">
        <v>0.875</v>
      </c>
    </row>
    <row r="35" spans="1:80" x14ac:dyDescent="0.45">
      <c r="A35" s="1322" t="s">
        <v>115</v>
      </c>
      <c r="B35" s="1433" t="s">
        <v>38</v>
      </c>
      <c r="C35" s="1429">
        <v>0.45833333333333331</v>
      </c>
      <c r="D35" s="1261">
        <v>0.79166666666666663</v>
      </c>
      <c r="E35" s="1213"/>
      <c r="F35" s="1213"/>
      <c r="G35" s="1090">
        <v>0.67708333333333337</v>
      </c>
      <c r="H35" s="1090">
        <v>0.98958333333333337</v>
      </c>
      <c r="I35" s="1090">
        <v>0.67708333333333337</v>
      </c>
      <c r="J35" s="1090">
        <v>0.98958333333333337</v>
      </c>
      <c r="K35" s="1145"/>
      <c r="L35" s="1145"/>
      <c r="M35" s="1145"/>
      <c r="N35" s="1145"/>
      <c r="O35" s="1145"/>
      <c r="P35" s="1404"/>
      <c r="Q35" s="1165" t="s">
        <v>116</v>
      </c>
      <c r="R35" s="1238" t="s">
        <v>38</v>
      </c>
      <c r="S35" s="1210"/>
      <c r="T35" s="1145"/>
      <c r="U35" s="1261">
        <v>0.45833333333333331</v>
      </c>
      <c r="V35" s="1261">
        <v>0.79166666666666663</v>
      </c>
      <c r="W35" s="1090">
        <v>0.58333333333333337</v>
      </c>
      <c r="X35" s="1090">
        <v>0.90972222222222221</v>
      </c>
      <c r="Y35" s="1090">
        <v>0.58333333333333337</v>
      </c>
      <c r="Z35" s="1502">
        <v>0.90972222222222221</v>
      </c>
      <c r="AA35" s="1284"/>
      <c r="AB35" s="1145"/>
      <c r="AC35" s="1145"/>
      <c r="AD35" s="1145"/>
      <c r="AE35" s="1145"/>
      <c r="AF35" s="1145"/>
      <c r="AG35" s="1165" t="s">
        <v>116</v>
      </c>
      <c r="AH35" s="1238" t="s">
        <v>38</v>
      </c>
      <c r="AI35" s="1143">
        <v>0.67708333333333337</v>
      </c>
      <c r="AJ35" s="1090">
        <v>0.98958333333333337</v>
      </c>
      <c r="AK35" s="1090">
        <v>0.67708333333333337</v>
      </c>
      <c r="AL35" s="1090">
        <v>0.98958333333333337</v>
      </c>
      <c r="AM35" s="1090">
        <v>0.67708333333333337</v>
      </c>
      <c r="AN35" s="1090">
        <v>0.98958333333333337</v>
      </c>
      <c r="AO35" s="1525">
        <v>0.71875</v>
      </c>
      <c r="AP35" s="1261">
        <v>0.98958333333333337</v>
      </c>
      <c r="AQ35" s="1284"/>
      <c r="AR35" s="1145"/>
      <c r="AS35" s="1145"/>
      <c r="AT35" s="1145"/>
      <c r="AU35" s="1145"/>
      <c r="AV35" s="1900"/>
      <c r="AW35" s="1913" t="s">
        <v>116</v>
      </c>
      <c r="AX35" s="1238" t="s">
        <v>38</v>
      </c>
      <c r="AY35" s="1143">
        <v>0.64583333333333337</v>
      </c>
      <c r="AZ35" s="1090">
        <v>0.96527777777777779</v>
      </c>
      <c r="BA35" s="1671"/>
      <c r="BB35" s="1671"/>
      <c r="BC35" s="1307">
        <v>0.64583333333333337</v>
      </c>
      <c r="BD35" s="1307">
        <v>0.96527777777777779</v>
      </c>
      <c r="BE35" s="1900">
        <v>0.64583333333333337</v>
      </c>
      <c r="BF35" s="1145">
        <v>0.96527777777777779</v>
      </c>
      <c r="BG35" s="1677"/>
      <c r="BH35" s="1671"/>
      <c r="BI35" s="1671"/>
      <c r="BJ35" s="1671"/>
      <c r="BK35" s="1671"/>
      <c r="BL35" s="1674"/>
      <c r="BM35" s="1923" t="s">
        <v>116</v>
      </c>
      <c r="BN35" s="1238" t="s">
        <v>38</v>
      </c>
      <c r="BO35" s="1090">
        <v>0.54166666666666663</v>
      </c>
      <c r="BP35" s="1090">
        <v>0.875</v>
      </c>
      <c r="BQ35" s="1090">
        <v>0.54166666666666663</v>
      </c>
      <c r="BR35" s="1090">
        <v>0.875</v>
      </c>
      <c r="BS35" s="1307">
        <v>0.64583333333333337</v>
      </c>
      <c r="BT35" s="1307">
        <v>0.96527777777777779</v>
      </c>
      <c r="BU35" s="1261">
        <v>0.6875</v>
      </c>
      <c r="BV35" s="1261">
        <v>0.96527777777777779</v>
      </c>
      <c r="BW35" s="1145"/>
      <c r="BX35" s="1145"/>
      <c r="BY35" s="1145"/>
      <c r="BZ35" s="1145"/>
      <c r="CA35" s="1145"/>
      <c r="CB35" s="1145"/>
    </row>
    <row r="36" spans="1:80" x14ac:dyDescent="0.45">
      <c r="A36" s="1322" t="s">
        <v>116</v>
      </c>
      <c r="B36" s="1433" t="s">
        <v>38</v>
      </c>
      <c r="C36" s="1429">
        <v>0.45833333333333331</v>
      </c>
      <c r="D36" s="1261">
        <v>0.79166666666666663</v>
      </c>
      <c r="E36" s="1145"/>
      <c r="F36" s="1145"/>
      <c r="G36" s="1090">
        <v>0.67708333333333337</v>
      </c>
      <c r="H36" s="1090">
        <v>0.98958333333333337</v>
      </c>
      <c r="I36" s="1090">
        <v>0.67708333333333337</v>
      </c>
      <c r="J36" s="1090">
        <v>0.98958333333333337</v>
      </c>
      <c r="K36" s="1145"/>
      <c r="L36" s="1145"/>
      <c r="M36" s="1145"/>
      <c r="N36" s="1145"/>
      <c r="O36" s="1145"/>
      <c r="P36" s="1404"/>
      <c r="Q36" s="1165" t="s">
        <v>117</v>
      </c>
      <c r="R36" s="1238" t="s">
        <v>38</v>
      </c>
      <c r="S36" s="1210"/>
      <c r="T36" s="1145"/>
      <c r="U36" s="1261">
        <v>0.45833333333333331</v>
      </c>
      <c r="V36" s="1261">
        <v>0.79166666666666663</v>
      </c>
      <c r="W36" s="1090">
        <v>0.6875</v>
      </c>
      <c r="X36" s="1090">
        <v>0</v>
      </c>
      <c r="Y36" s="1090">
        <v>0.6875</v>
      </c>
      <c r="Z36" s="1502">
        <v>0</v>
      </c>
      <c r="AA36" s="1284"/>
      <c r="AB36" s="1145"/>
      <c r="AC36" s="1145"/>
      <c r="AD36" s="1145"/>
      <c r="AE36" s="1145"/>
      <c r="AF36" s="1145"/>
      <c r="AG36" s="1165" t="s">
        <v>117</v>
      </c>
      <c r="AH36" s="1238" t="s">
        <v>38</v>
      </c>
      <c r="AI36" s="1143">
        <v>0.64583333333333337</v>
      </c>
      <c r="AJ36" s="1090">
        <v>0.96527777777777779</v>
      </c>
      <c r="AK36" s="1090">
        <v>0.64583333333333337</v>
      </c>
      <c r="AL36" s="1090">
        <v>0.96527777777777779</v>
      </c>
      <c r="AM36" s="1438">
        <v>0.6875</v>
      </c>
      <c r="AN36" s="1438">
        <v>0.96527777777777779</v>
      </c>
      <c r="AO36" s="1683">
        <v>0.64583333333333337</v>
      </c>
      <c r="AP36" s="1438">
        <v>0.96527777777777779</v>
      </c>
      <c r="AQ36" s="1284"/>
      <c r="AR36" s="1145"/>
      <c r="AS36" s="1145"/>
      <c r="AT36" s="1145"/>
      <c r="AU36" s="1145"/>
      <c r="AV36" s="1900"/>
      <c r="AW36" s="1913" t="s">
        <v>117</v>
      </c>
      <c r="AX36" s="1238" t="s">
        <v>38</v>
      </c>
      <c r="AY36" s="1670"/>
      <c r="AZ36" s="1671"/>
      <c r="BA36" s="1090">
        <v>0.625</v>
      </c>
      <c r="BB36" s="1090">
        <v>0.94444444444444442</v>
      </c>
      <c r="BC36" s="1090">
        <v>0.54166666666666663</v>
      </c>
      <c r="BD36" s="1090">
        <v>0.875</v>
      </c>
      <c r="BE36" s="1900">
        <v>0.54166666666666663</v>
      </c>
      <c r="BF36" s="1145">
        <v>0.875</v>
      </c>
      <c r="BG36" s="1677"/>
      <c r="BH36" s="1671"/>
      <c r="BI36" s="1671"/>
      <c r="BJ36" s="1671"/>
      <c r="BK36" s="1671"/>
      <c r="BL36" s="1674"/>
      <c r="BM36" s="1923" t="s">
        <v>117</v>
      </c>
      <c r="BN36" s="1238" t="s">
        <v>38</v>
      </c>
      <c r="BO36" s="1090">
        <v>0.66666666666666663</v>
      </c>
      <c r="BP36" s="1090">
        <v>0.97916666666666663</v>
      </c>
      <c r="BQ36" s="1090">
        <v>0.67708333333333337</v>
      </c>
      <c r="BR36" s="1090">
        <v>0.98958333333333337</v>
      </c>
      <c r="BS36" s="1090">
        <v>0.54166666666666663</v>
      </c>
      <c r="BT36" s="1090">
        <v>0.875</v>
      </c>
      <c r="BU36" s="1261">
        <v>0.54166666666666663</v>
      </c>
      <c r="BV36" s="1261">
        <v>0.83333333333333337</v>
      </c>
      <c r="BW36" s="1145"/>
      <c r="BX36" s="1145"/>
      <c r="BY36" s="1145"/>
      <c r="BZ36" s="1145"/>
      <c r="CA36" s="1145"/>
      <c r="CB36" s="1145"/>
    </row>
    <row r="37" spans="1:80" x14ac:dyDescent="0.45">
      <c r="A37" s="1322" t="s">
        <v>117</v>
      </c>
      <c r="B37" s="1433" t="s">
        <v>38</v>
      </c>
      <c r="C37" s="1429">
        <v>0.45833333333333331</v>
      </c>
      <c r="D37" s="1261">
        <v>0.79166666666666663</v>
      </c>
      <c r="E37" s="1213"/>
      <c r="F37" s="1213"/>
      <c r="G37" s="1090">
        <v>0.6875</v>
      </c>
      <c r="H37" s="1090">
        <v>0</v>
      </c>
      <c r="I37" s="1090">
        <v>0.6875</v>
      </c>
      <c r="J37" s="1090">
        <v>0</v>
      </c>
      <c r="K37" s="1145"/>
      <c r="L37" s="1145"/>
      <c r="M37" s="1145"/>
      <c r="N37" s="1145"/>
      <c r="O37" s="1145"/>
      <c r="P37" s="1404"/>
      <c r="Q37" s="1165" t="s">
        <v>118</v>
      </c>
      <c r="R37" s="1238" t="s">
        <v>38</v>
      </c>
      <c r="S37" s="1210"/>
      <c r="T37" s="1145"/>
      <c r="U37" s="1261">
        <v>0.45833333333333331</v>
      </c>
      <c r="V37" s="1261">
        <v>0.79166666666666663</v>
      </c>
      <c r="W37" s="1090">
        <v>0.58333333333333337</v>
      </c>
      <c r="X37" s="1090">
        <v>0.90972222222222221</v>
      </c>
      <c r="Y37" s="1090">
        <v>0.58333333333333337</v>
      </c>
      <c r="Z37" s="1502">
        <v>0.90972222222222221</v>
      </c>
      <c r="AA37" s="1284"/>
      <c r="AB37" s="1145"/>
      <c r="AC37" s="1145"/>
      <c r="AD37" s="1145"/>
      <c r="AE37" s="1145"/>
      <c r="AF37" s="1145"/>
      <c r="AG37" s="1165" t="s">
        <v>118</v>
      </c>
      <c r="AH37" s="1238" t="s">
        <v>38</v>
      </c>
      <c r="AI37" s="1507">
        <v>0.64583333333333337</v>
      </c>
      <c r="AJ37" s="1122">
        <v>0.96527777777777779</v>
      </c>
      <c r="AK37" s="1122">
        <v>0.64583333333333337</v>
      </c>
      <c r="AL37" s="1122">
        <v>0.96527777777777779</v>
      </c>
      <c r="AM37" s="1548">
        <v>0.6875</v>
      </c>
      <c r="AN37" s="1548">
        <v>0.96527777777777779</v>
      </c>
      <c r="AO37" s="1681">
        <v>0.64583333333333337</v>
      </c>
      <c r="AP37" s="1682">
        <v>0.96527777777777779</v>
      </c>
      <c r="AQ37" s="1550"/>
      <c r="AR37" s="1551"/>
      <c r="AS37" s="1551"/>
      <c r="AT37" s="1551"/>
      <c r="AU37" s="1551"/>
      <c r="AV37" s="1820"/>
      <c r="AW37" s="1913" t="s">
        <v>118</v>
      </c>
      <c r="AX37" s="1559" t="s">
        <v>38</v>
      </c>
      <c r="AY37" s="1670"/>
      <c r="AZ37" s="1671"/>
      <c r="BA37" s="1090">
        <v>0.66666666666666663</v>
      </c>
      <c r="BB37" s="1090">
        <v>0.97916666666666663</v>
      </c>
      <c r="BC37" s="1122">
        <v>0.625</v>
      </c>
      <c r="BD37" s="1122">
        <v>0.94444444444444442</v>
      </c>
      <c r="BE37" s="1820">
        <v>0.625</v>
      </c>
      <c r="BF37" s="1551">
        <v>0.94444444444444442</v>
      </c>
      <c r="BG37" s="1679"/>
      <c r="BH37" s="1673"/>
      <c r="BI37" s="1673"/>
      <c r="BJ37" s="1673"/>
      <c r="BK37" s="1673"/>
      <c r="BL37" s="1917"/>
      <c r="BM37" s="1922" t="s">
        <v>118</v>
      </c>
      <c r="BN37" s="1559" t="s">
        <v>38</v>
      </c>
      <c r="BO37" s="1090">
        <v>0.67708333333333337</v>
      </c>
      <c r="BP37" s="1090">
        <v>0.98958333333333337</v>
      </c>
      <c r="BQ37" s="1261">
        <v>0.72916666666666663</v>
      </c>
      <c r="BR37" s="1261">
        <v>0</v>
      </c>
      <c r="BS37" s="1090">
        <v>0.625</v>
      </c>
      <c r="BT37" s="1090">
        <v>0.94444444444444442</v>
      </c>
      <c r="BU37" s="1332">
        <v>0.625</v>
      </c>
      <c r="BV37" s="1332">
        <v>0.94444444444444442</v>
      </c>
      <c r="BW37" s="1145"/>
      <c r="BX37" s="1145"/>
      <c r="BY37" s="1145"/>
      <c r="BZ37" s="1145"/>
      <c r="CA37" s="1145"/>
      <c r="CB37" s="1145"/>
    </row>
    <row r="38" spans="1:80" ht="29.25" thickBot="1" x14ac:dyDescent="0.5">
      <c r="A38" s="1322" t="s">
        <v>118</v>
      </c>
      <c r="B38" s="1433" t="s">
        <v>38</v>
      </c>
      <c r="C38" s="1429">
        <v>0.45833333333333331</v>
      </c>
      <c r="D38" s="1261">
        <v>0.79166666666666663</v>
      </c>
      <c r="E38" s="1145"/>
      <c r="F38" s="1145"/>
      <c r="G38" s="1090">
        <v>0.6875</v>
      </c>
      <c r="H38" s="1090">
        <v>0</v>
      </c>
      <c r="I38" s="1090">
        <v>0.6875</v>
      </c>
      <c r="J38" s="1090">
        <v>0</v>
      </c>
      <c r="K38" s="1145"/>
      <c r="L38" s="1145"/>
      <c r="M38" s="1145"/>
      <c r="N38" s="1145"/>
      <c r="O38" s="1145"/>
      <c r="P38" s="1404"/>
      <c r="Q38" s="1165" t="s">
        <v>119</v>
      </c>
      <c r="R38" s="1238" t="s">
        <v>38</v>
      </c>
      <c r="S38" s="1475">
        <v>0.58333333333333337</v>
      </c>
      <c r="T38" s="1476">
        <v>0.90972222222222221</v>
      </c>
      <c r="U38" s="1504">
        <v>0.45833333333333331</v>
      </c>
      <c r="V38" s="1504">
        <v>0.75</v>
      </c>
      <c r="W38" s="1476">
        <v>0.6875</v>
      </c>
      <c r="X38" s="1476">
        <v>0</v>
      </c>
      <c r="Y38" s="1476">
        <v>0.6875</v>
      </c>
      <c r="Z38" s="1505">
        <v>0</v>
      </c>
      <c r="AA38" s="1284"/>
      <c r="AB38" s="1145"/>
      <c r="AC38" s="1145"/>
      <c r="AD38" s="1145"/>
      <c r="AE38" s="1145"/>
      <c r="AF38" s="1145"/>
      <c r="AG38" s="1165" t="s">
        <v>119</v>
      </c>
      <c r="AH38" s="1559" t="s">
        <v>38</v>
      </c>
      <c r="AI38" s="1507">
        <v>0.54166666666666663</v>
      </c>
      <c r="AJ38" s="1122">
        <v>0.875</v>
      </c>
      <c r="AK38" s="1122">
        <v>0.54166666666666663</v>
      </c>
      <c r="AL38" s="1122">
        <v>0.875</v>
      </c>
      <c r="AM38" s="1548">
        <v>0.54166666666666663</v>
      </c>
      <c r="AN38" s="1548">
        <v>0.83333333333333337</v>
      </c>
      <c r="AO38" s="1549">
        <v>0.54166666666666663</v>
      </c>
      <c r="AP38" s="1122">
        <v>0.875</v>
      </c>
      <c r="AQ38" s="1550"/>
      <c r="AR38" s="1551"/>
      <c r="AS38" s="1551"/>
      <c r="AT38" s="1551"/>
      <c r="AU38" s="1551"/>
      <c r="AV38" s="1820"/>
      <c r="AW38" s="1912" t="s">
        <v>119</v>
      </c>
      <c r="AX38" s="1238" t="s">
        <v>38</v>
      </c>
      <c r="AY38" s="1821">
        <v>0.625</v>
      </c>
      <c r="AZ38" s="1817">
        <v>0.94444444444444442</v>
      </c>
      <c r="BA38" s="1822"/>
      <c r="BB38" s="1822"/>
      <c r="BC38" s="1817">
        <v>0.54166666666666663</v>
      </c>
      <c r="BD38" s="1817">
        <v>0.875</v>
      </c>
      <c r="BE38" s="1901">
        <v>0.54166666666666663</v>
      </c>
      <c r="BF38" s="1902">
        <v>0.875</v>
      </c>
      <c r="BG38" s="1823"/>
      <c r="BH38" s="1822"/>
      <c r="BI38" s="1822"/>
      <c r="BJ38" s="1822"/>
      <c r="BK38" s="1817">
        <v>0.6875</v>
      </c>
      <c r="BL38" s="1831">
        <v>0</v>
      </c>
      <c r="BM38" s="1165" t="s">
        <v>119</v>
      </c>
      <c r="BN38" s="1559" t="s">
        <v>38</v>
      </c>
      <c r="BO38" s="1438">
        <v>0.67708333333333337</v>
      </c>
      <c r="BP38" s="1438">
        <v>0.98958333333333337</v>
      </c>
      <c r="BQ38" s="1145"/>
      <c r="BR38" s="1145"/>
      <c r="BS38" s="1090">
        <v>0.54166666666666663</v>
      </c>
      <c r="BT38" s="1090">
        <v>0.875</v>
      </c>
      <c r="BU38" s="1261">
        <v>0.54166666666666663</v>
      </c>
      <c r="BV38" s="1261">
        <v>0.83333333333333337</v>
      </c>
      <c r="BW38" s="1090">
        <v>0.6875</v>
      </c>
      <c r="BX38" s="1090">
        <v>0</v>
      </c>
      <c r="BY38" s="1145"/>
      <c r="BZ38" s="1145"/>
      <c r="CA38" s="1145"/>
      <c r="CB38" s="1145"/>
    </row>
    <row r="39" spans="1:80" x14ac:dyDescent="0.45">
      <c r="A39" s="1322"/>
      <c r="B39" s="1433"/>
      <c r="C39" s="1429"/>
      <c r="D39" s="1261"/>
      <c r="E39" s="1145"/>
      <c r="F39" s="1145"/>
      <c r="G39" s="1090"/>
      <c r="H39" s="1090"/>
      <c r="I39" s="1090"/>
      <c r="J39" s="1090"/>
      <c r="K39" s="1145"/>
      <c r="L39" s="1145"/>
      <c r="M39" s="1145"/>
      <c r="N39" s="1145"/>
      <c r="O39" s="1145"/>
      <c r="P39" s="1404"/>
      <c r="Q39" s="1165"/>
      <c r="R39" s="1559"/>
      <c r="S39" s="1796"/>
      <c r="T39" s="1797"/>
      <c r="U39" s="1798"/>
      <c r="V39" s="1799"/>
      <c r="W39" s="1796"/>
      <c r="X39" s="1797"/>
      <c r="Y39" s="1796"/>
      <c r="Z39" s="1800"/>
      <c r="AA39" s="1801"/>
      <c r="AB39" s="1802"/>
      <c r="AC39" s="1801"/>
      <c r="AD39" s="1802"/>
      <c r="AE39" s="1801"/>
      <c r="AF39" s="1803"/>
      <c r="AG39" s="1804"/>
      <c r="AH39" s="1805"/>
      <c r="AI39" s="1796"/>
      <c r="AJ39" s="1796"/>
      <c r="AK39" s="1796"/>
      <c r="AL39" s="1797"/>
      <c r="AM39" s="1798"/>
      <c r="AN39" s="1799"/>
      <c r="AO39" s="1806"/>
      <c r="AP39" s="1797"/>
      <c r="AQ39" s="1801"/>
      <c r="AR39" s="1802"/>
      <c r="AS39" s="1801"/>
      <c r="AT39" s="1802"/>
      <c r="AU39" s="1801"/>
      <c r="AV39" s="1803"/>
      <c r="AW39" s="1912" t="s">
        <v>292</v>
      </c>
      <c r="AX39" s="1238" t="s">
        <v>38</v>
      </c>
      <c r="AY39" s="1825"/>
      <c r="AZ39" s="1822"/>
      <c r="BA39" s="1828">
        <v>0.5</v>
      </c>
      <c r="BB39" s="1828">
        <v>0.83333333333333337</v>
      </c>
      <c r="BC39" s="1817">
        <v>0.54166666666666663</v>
      </c>
      <c r="BD39" s="1817">
        <v>0.875</v>
      </c>
      <c r="BE39" s="1901">
        <v>0.52083333333333337</v>
      </c>
      <c r="BF39" s="1902">
        <v>0.85416666666666663</v>
      </c>
      <c r="BG39" s="1823"/>
      <c r="BH39" s="1822"/>
      <c r="BI39" s="1822"/>
      <c r="BJ39" s="1822"/>
      <c r="BK39" s="1822"/>
      <c r="BL39" s="1824"/>
      <c r="BM39" s="1912" t="s">
        <v>292</v>
      </c>
      <c r="BN39" s="1238" t="s">
        <v>38</v>
      </c>
      <c r="BO39" s="1090">
        <v>0.6875</v>
      </c>
      <c r="BP39" s="1090">
        <v>0</v>
      </c>
      <c r="BQ39" s="1090">
        <v>0.6875</v>
      </c>
      <c r="BR39" s="1090">
        <v>0</v>
      </c>
      <c r="BS39" s="1090">
        <v>0.54166666666666663</v>
      </c>
      <c r="BT39" s="1090">
        <v>0.875</v>
      </c>
      <c r="BU39" s="1261">
        <v>0.54166666666666663</v>
      </c>
      <c r="BV39" s="1261">
        <v>0.83333333333333337</v>
      </c>
      <c r="BW39" s="1145"/>
      <c r="BX39" s="1145"/>
      <c r="BY39" s="1005">
        <v>0.54166666666666663</v>
      </c>
      <c r="BZ39" s="1005">
        <v>0.875</v>
      </c>
      <c r="CA39" s="1005">
        <v>0.54166666666666663</v>
      </c>
      <c r="CB39" s="1005">
        <v>0.875</v>
      </c>
    </row>
    <row r="40" spans="1:80" ht="29.25" thickBot="1" x14ac:dyDescent="0.5">
      <c r="A40" s="1322"/>
      <c r="B40" s="1433"/>
      <c r="C40" s="1429"/>
      <c r="D40" s="1261"/>
      <c r="E40" s="1145"/>
      <c r="F40" s="1145"/>
      <c r="G40" s="1090"/>
      <c r="H40" s="1090"/>
      <c r="I40" s="1090"/>
      <c r="J40" s="1090"/>
      <c r="K40" s="1145"/>
      <c r="L40" s="1145"/>
      <c r="M40" s="1145"/>
      <c r="N40" s="1145"/>
      <c r="O40" s="1145"/>
      <c r="P40" s="1404"/>
      <c r="Q40" s="1165"/>
      <c r="R40" s="1559"/>
      <c r="S40" s="1796"/>
      <c r="T40" s="1797"/>
      <c r="U40" s="1798"/>
      <c r="V40" s="1799"/>
      <c r="W40" s="1796"/>
      <c r="X40" s="1797"/>
      <c r="Y40" s="1796"/>
      <c r="Z40" s="1800"/>
      <c r="AA40" s="1801"/>
      <c r="AB40" s="1802"/>
      <c r="AC40" s="1801"/>
      <c r="AD40" s="1802"/>
      <c r="AE40" s="1801"/>
      <c r="AF40" s="1803"/>
      <c r="AG40" s="1804"/>
      <c r="AH40" s="1805"/>
      <c r="AI40" s="1796"/>
      <c r="AJ40" s="1796"/>
      <c r="AK40" s="1796"/>
      <c r="AL40" s="1797"/>
      <c r="AM40" s="1798"/>
      <c r="AN40" s="1799"/>
      <c r="AO40" s="1806"/>
      <c r="AP40" s="1797"/>
      <c r="AQ40" s="1801"/>
      <c r="AR40" s="1802"/>
      <c r="AS40" s="1801"/>
      <c r="AT40" s="1802"/>
      <c r="AU40" s="1801"/>
      <c r="AV40" s="1803"/>
      <c r="AW40" s="1914" t="s">
        <v>293</v>
      </c>
      <c r="AX40" s="1238" t="s">
        <v>38</v>
      </c>
      <c r="AY40" s="1825"/>
      <c r="AZ40" s="1822"/>
      <c r="BA40" s="1828">
        <v>0.5</v>
      </c>
      <c r="BB40" s="1828">
        <v>0.83333333333333337</v>
      </c>
      <c r="BC40" s="1817">
        <v>0.54166666666666663</v>
      </c>
      <c r="BD40" s="1817">
        <v>0.875</v>
      </c>
      <c r="BE40" s="1901">
        <v>0.41666666666666669</v>
      </c>
      <c r="BF40" s="1902">
        <v>0.75</v>
      </c>
      <c r="BG40" s="1823"/>
      <c r="BH40" s="1822"/>
      <c r="BI40" s="1822"/>
      <c r="BJ40" s="1822"/>
      <c r="BK40" s="1822"/>
      <c r="BL40" s="1824"/>
      <c r="BM40" s="1914" t="s">
        <v>293</v>
      </c>
      <c r="BN40" s="1931" t="s">
        <v>38</v>
      </c>
      <c r="BO40" s="1090">
        <v>0.6875</v>
      </c>
      <c r="BP40" s="1090">
        <v>0</v>
      </c>
      <c r="BQ40" s="1090">
        <v>0.6875</v>
      </c>
      <c r="BR40" s="1090">
        <v>0</v>
      </c>
      <c r="BS40" s="1090">
        <v>0.54166666666666663</v>
      </c>
      <c r="BT40" s="1090">
        <v>0.875</v>
      </c>
      <c r="BU40" s="1261">
        <v>0.54166666666666663</v>
      </c>
      <c r="BV40" s="1261">
        <v>0.83333333333333337</v>
      </c>
      <c r="BW40" s="1145"/>
      <c r="BX40" s="1145"/>
      <c r="BY40" s="1090">
        <v>0.625</v>
      </c>
      <c r="BZ40" s="1090">
        <v>0.94444444444444442</v>
      </c>
      <c r="CA40" s="1090">
        <v>0.625</v>
      </c>
      <c r="CB40" s="1090">
        <v>0.94444444444444442</v>
      </c>
    </row>
    <row r="41" spans="1:80" ht="29.25" thickBot="1" x14ac:dyDescent="0.5">
      <c r="A41" s="1427" t="s">
        <v>119</v>
      </c>
      <c r="B41" s="1433" t="s">
        <v>38</v>
      </c>
      <c r="C41" s="1429">
        <v>0.45833333333333331</v>
      </c>
      <c r="D41" s="1261">
        <v>0.75</v>
      </c>
      <c r="E41" s="1090">
        <v>0.58333333333333337</v>
      </c>
      <c r="F41" s="1090">
        <v>0.90972222222222221</v>
      </c>
      <c r="G41" s="1090">
        <v>0.54166666666666663</v>
      </c>
      <c r="H41" s="1090">
        <v>0.875</v>
      </c>
      <c r="I41" s="1438">
        <v>0.54166666666666663</v>
      </c>
      <c r="J41" s="1438">
        <v>0.875</v>
      </c>
      <c r="K41" s="1145"/>
      <c r="L41" s="1145"/>
      <c r="M41" s="1145"/>
      <c r="N41" s="1145"/>
      <c r="O41" s="1145"/>
      <c r="P41" s="1404"/>
      <c r="Q41" s="1173" t="s">
        <v>120</v>
      </c>
      <c r="R41" s="1168" t="s">
        <v>38</v>
      </c>
      <c r="S41" s="1487" t="s">
        <v>121</v>
      </c>
      <c r="T41" s="1488" t="s">
        <v>121</v>
      </c>
      <c r="U41" s="1487" t="s">
        <v>121</v>
      </c>
      <c r="V41" s="1488" t="s">
        <v>121</v>
      </c>
      <c r="W41" s="1487" t="s">
        <v>121</v>
      </c>
      <c r="X41" s="1488" t="s">
        <v>121</v>
      </c>
      <c r="Y41" s="1487" t="s">
        <v>121</v>
      </c>
      <c r="Z41" s="1488" t="s">
        <v>121</v>
      </c>
      <c r="AA41" s="1487" t="s">
        <v>121</v>
      </c>
      <c r="AB41" s="1488" t="s">
        <v>121</v>
      </c>
      <c r="AC41" s="1487" t="s">
        <v>121</v>
      </c>
      <c r="AD41" s="1488" t="s">
        <v>121</v>
      </c>
      <c r="AE41" s="1487" t="s">
        <v>121</v>
      </c>
      <c r="AF41" s="1489" t="s">
        <v>121</v>
      </c>
      <c r="AG41" s="1562" t="s">
        <v>120</v>
      </c>
      <c r="AH41" s="1563" t="s">
        <v>38</v>
      </c>
      <c r="AI41" s="1558" t="s">
        <v>121</v>
      </c>
      <c r="AJ41" s="1558" t="s">
        <v>121</v>
      </c>
      <c r="AK41" s="1556" t="s">
        <v>121</v>
      </c>
      <c r="AL41" s="1555" t="s">
        <v>121</v>
      </c>
      <c r="AM41" s="1556" t="s">
        <v>121</v>
      </c>
      <c r="AN41" s="1555" t="s">
        <v>121</v>
      </c>
      <c r="AO41" s="1556" t="s">
        <v>121</v>
      </c>
      <c r="AP41" s="1555" t="s">
        <v>121</v>
      </c>
      <c r="AQ41" s="1556" t="s">
        <v>121</v>
      </c>
      <c r="AR41" s="1555" t="s">
        <v>121</v>
      </c>
      <c r="AS41" s="1556" t="s">
        <v>121</v>
      </c>
      <c r="AT41" s="1555" t="s">
        <v>121</v>
      </c>
      <c r="AU41" s="1556" t="s">
        <v>121</v>
      </c>
      <c r="AV41" s="1557" t="s">
        <v>121</v>
      </c>
      <c r="AW41" s="1562" t="s">
        <v>120</v>
      </c>
      <c r="AX41" s="1563" t="s">
        <v>38</v>
      </c>
      <c r="AY41" s="1558" t="s">
        <v>121</v>
      </c>
      <c r="AZ41" s="1558" t="s">
        <v>121</v>
      </c>
      <c r="BA41" s="1556" t="s">
        <v>121</v>
      </c>
      <c r="BB41" s="1555" t="s">
        <v>121</v>
      </c>
      <c r="BC41" s="1556" t="s">
        <v>121</v>
      </c>
      <c r="BD41" s="1555" t="s">
        <v>121</v>
      </c>
      <c r="BE41" s="1556" t="s">
        <v>121</v>
      </c>
      <c r="BF41" s="1555" t="s">
        <v>121</v>
      </c>
      <c r="BG41" s="1556" t="s">
        <v>121</v>
      </c>
      <c r="BH41" s="1555" t="s">
        <v>121</v>
      </c>
      <c r="BI41" s="1556" t="s">
        <v>121</v>
      </c>
      <c r="BJ41" s="1555" t="s">
        <v>121</v>
      </c>
      <c r="BK41" s="1556" t="s">
        <v>121</v>
      </c>
      <c r="BL41" s="1557" t="s">
        <v>121</v>
      </c>
      <c r="BM41" s="1562" t="s">
        <v>120</v>
      </c>
      <c r="BN41" s="1563" t="s">
        <v>38</v>
      </c>
      <c r="BO41" s="1558" t="s">
        <v>121</v>
      </c>
      <c r="BP41" s="1558" t="s">
        <v>121</v>
      </c>
      <c r="BQ41" s="1556" t="s">
        <v>121</v>
      </c>
      <c r="BR41" s="1555" t="s">
        <v>121</v>
      </c>
      <c r="BS41" s="1556" t="s">
        <v>121</v>
      </c>
      <c r="BT41" s="1555" t="s">
        <v>121</v>
      </c>
      <c r="BU41" s="1556" t="s">
        <v>121</v>
      </c>
      <c r="BV41" s="1555" t="s">
        <v>121</v>
      </c>
      <c r="BW41" s="1556" t="s">
        <v>121</v>
      </c>
      <c r="BX41" s="1555" t="s">
        <v>121</v>
      </c>
      <c r="BY41" s="1556" t="s">
        <v>121</v>
      </c>
      <c r="BZ41" s="1555" t="s">
        <v>121</v>
      </c>
      <c r="CA41" s="1556" t="s">
        <v>121</v>
      </c>
      <c r="CB41" s="1557" t="s">
        <v>121</v>
      </c>
    </row>
    <row r="42" spans="1:80" ht="29.25" hidden="1" customHeight="1" thickBot="1" x14ac:dyDescent="0.5">
      <c r="A42" s="1428" t="s">
        <v>120</v>
      </c>
      <c r="B42" s="1434" t="s">
        <v>38</v>
      </c>
      <c r="C42" s="1430" t="s">
        <v>121</v>
      </c>
      <c r="D42" s="1323" t="s">
        <v>121</v>
      </c>
      <c r="E42" s="1324" t="s">
        <v>121</v>
      </c>
      <c r="F42" s="1323" t="s">
        <v>121</v>
      </c>
      <c r="G42" s="1324" t="s">
        <v>121</v>
      </c>
      <c r="H42" s="1323" t="s">
        <v>121</v>
      </c>
      <c r="I42" s="1324" t="s">
        <v>121</v>
      </c>
      <c r="J42" s="1323" t="s">
        <v>121</v>
      </c>
      <c r="K42" s="1324" t="s">
        <v>121</v>
      </c>
      <c r="L42" s="1323" t="s">
        <v>121</v>
      </c>
      <c r="M42" s="1324" t="s">
        <v>121</v>
      </c>
      <c r="N42" s="1323" t="s">
        <v>121</v>
      </c>
      <c r="O42" s="1324" t="s">
        <v>121</v>
      </c>
      <c r="P42" s="1325" t="s">
        <v>121</v>
      </c>
      <c r="Q42" s="1173" t="s">
        <v>120</v>
      </c>
      <c r="R42" s="1168" t="s">
        <v>38</v>
      </c>
      <c r="S42" s="1175" t="s">
        <v>121</v>
      </c>
      <c r="T42" s="1176" t="s">
        <v>121</v>
      </c>
      <c r="U42" s="1175" t="s">
        <v>121</v>
      </c>
      <c r="V42" s="1176" t="s">
        <v>121</v>
      </c>
      <c r="W42" s="1175" t="s">
        <v>121</v>
      </c>
      <c r="X42" s="1176" t="s">
        <v>121</v>
      </c>
      <c r="Y42" s="1175" t="s">
        <v>121</v>
      </c>
      <c r="Z42" s="1176" t="s">
        <v>121</v>
      </c>
      <c r="AA42" s="1175" t="s">
        <v>121</v>
      </c>
      <c r="AB42" s="1176" t="s">
        <v>121</v>
      </c>
      <c r="AC42" s="1175" t="s">
        <v>121</v>
      </c>
      <c r="AD42" s="1176" t="s">
        <v>121</v>
      </c>
      <c r="AE42" s="1175" t="s">
        <v>121</v>
      </c>
      <c r="AF42" s="1221" t="s">
        <v>121</v>
      </c>
      <c r="AG42" s="1560" t="s">
        <v>120</v>
      </c>
      <c r="AH42" s="1561" t="s">
        <v>38</v>
      </c>
      <c r="AI42" s="1241" t="s">
        <v>121</v>
      </c>
      <c r="AJ42" s="1242" t="s">
        <v>121</v>
      </c>
      <c r="AK42" s="1243" t="s">
        <v>121</v>
      </c>
      <c r="AL42" s="1242" t="s">
        <v>121</v>
      </c>
      <c r="AM42" s="1243" t="s">
        <v>121</v>
      </c>
      <c r="AN42" s="1242" t="s">
        <v>121</v>
      </c>
      <c r="AO42" s="1243" t="s">
        <v>121</v>
      </c>
      <c r="AP42" s="1242" t="s">
        <v>121</v>
      </c>
      <c r="AQ42" s="1243" t="s">
        <v>121</v>
      </c>
      <c r="AR42" s="1242" t="s">
        <v>121</v>
      </c>
      <c r="AS42" s="1243" t="s">
        <v>121</v>
      </c>
      <c r="AT42" s="1242" t="s">
        <v>121</v>
      </c>
      <c r="AU42" s="1243" t="s">
        <v>121</v>
      </c>
      <c r="AV42" s="1317" t="s">
        <v>121</v>
      </c>
      <c r="AW42" s="1560" t="s">
        <v>120</v>
      </c>
      <c r="AX42" s="1561" t="s">
        <v>38</v>
      </c>
      <c r="AY42" s="1241" t="s">
        <v>121</v>
      </c>
      <c r="AZ42" s="1242" t="s">
        <v>121</v>
      </c>
      <c r="BA42" s="1243" t="s">
        <v>121</v>
      </c>
      <c r="BB42" s="1242" t="s">
        <v>121</v>
      </c>
      <c r="BC42" s="1243" t="s">
        <v>121</v>
      </c>
      <c r="BD42" s="1242" t="s">
        <v>121</v>
      </c>
      <c r="BE42" s="1243" t="s">
        <v>121</v>
      </c>
      <c r="BF42" s="1242" t="s">
        <v>121</v>
      </c>
      <c r="BG42" s="1243" t="s">
        <v>121</v>
      </c>
      <c r="BH42" s="1242" t="s">
        <v>121</v>
      </c>
      <c r="BI42" s="1243" t="s">
        <v>121</v>
      </c>
      <c r="BJ42" s="1242" t="s">
        <v>121</v>
      </c>
      <c r="BK42" s="1243" t="s">
        <v>121</v>
      </c>
      <c r="BL42" s="1317" t="s">
        <v>121</v>
      </c>
      <c r="BM42" s="1560" t="s">
        <v>120</v>
      </c>
      <c r="BN42" s="1561" t="s">
        <v>38</v>
      </c>
      <c r="BO42" s="1241" t="s">
        <v>121</v>
      </c>
      <c r="BP42" s="1242" t="s">
        <v>121</v>
      </c>
      <c r="BQ42" s="1243" t="s">
        <v>121</v>
      </c>
      <c r="BR42" s="1242" t="s">
        <v>121</v>
      </c>
      <c r="BS42" s="1243" t="s">
        <v>121</v>
      </c>
      <c r="BT42" s="1242" t="s">
        <v>121</v>
      </c>
      <c r="BU42" s="1243" t="s">
        <v>121</v>
      </c>
      <c r="BV42" s="1242" t="s">
        <v>121</v>
      </c>
      <c r="BW42" s="1243" t="s">
        <v>121</v>
      </c>
      <c r="BX42" s="1242" t="s">
        <v>121</v>
      </c>
      <c r="BY42" s="1243" t="s">
        <v>121</v>
      </c>
      <c r="BZ42" s="1242" t="s">
        <v>121</v>
      </c>
      <c r="CA42" s="1243" t="s">
        <v>121</v>
      </c>
      <c r="CB42" s="1317" t="s">
        <v>121</v>
      </c>
    </row>
    <row r="43" spans="1:80" x14ac:dyDescent="0.45">
      <c r="A43" s="1169"/>
      <c r="B43" s="1097"/>
      <c r="C43" s="1094"/>
      <c r="D43" s="1095"/>
      <c r="E43" s="1094"/>
      <c r="F43" s="1095"/>
      <c r="G43" s="1095"/>
      <c r="H43" s="1095"/>
      <c r="I43" s="1095"/>
      <c r="J43" s="1095"/>
      <c r="K43" s="1095"/>
      <c r="L43" s="1095"/>
      <c r="M43" s="1095"/>
      <c r="N43" s="1095"/>
      <c r="O43" s="1095"/>
      <c r="P43" s="1095"/>
      <c r="Q43" s="1096"/>
      <c r="R43" s="1097"/>
      <c r="S43" s="1094"/>
      <c r="T43" s="1095"/>
      <c r="U43" s="1094"/>
      <c r="V43" s="1095"/>
      <c r="W43" s="1095"/>
      <c r="X43" s="1095"/>
      <c r="Y43" s="1095"/>
      <c r="Z43" s="1095"/>
      <c r="AA43" s="1095"/>
      <c r="AB43" s="1095"/>
      <c r="AC43" s="1095"/>
      <c r="AD43" s="1095"/>
      <c r="AE43" s="1095"/>
      <c r="AF43" s="1095"/>
      <c r="AG43" s="1096"/>
      <c r="AH43" s="1097"/>
      <c r="AI43" s="1094"/>
      <c r="AJ43" s="1095"/>
      <c r="AK43" s="1094"/>
      <c r="AL43" s="1095"/>
      <c r="AM43" s="1095"/>
      <c r="AN43" s="1095"/>
      <c r="AO43" s="1095"/>
      <c r="AP43" s="1095"/>
      <c r="AQ43" s="1095"/>
      <c r="AR43" s="1095"/>
      <c r="AS43" s="1095"/>
      <c r="AT43" s="1095"/>
      <c r="AU43" s="1095"/>
      <c r="AV43" s="1095"/>
      <c r="AW43" s="1096"/>
      <c r="AX43" s="1097"/>
      <c r="AY43" s="1094"/>
      <c r="AZ43" s="1095"/>
      <c r="BA43" s="1094"/>
      <c r="BB43" s="1095"/>
      <c r="BC43" s="1095"/>
      <c r="BD43" s="1095"/>
      <c r="BE43" s="1095"/>
      <c r="BF43" s="1095"/>
      <c r="BG43" s="1095"/>
      <c r="BH43" s="1095"/>
      <c r="BI43" s="1095"/>
      <c r="BJ43" s="1095"/>
      <c r="BK43" s="1095"/>
      <c r="BL43" s="1095"/>
      <c r="BM43" s="1096"/>
      <c r="BN43" s="1097"/>
      <c r="BO43" s="1094"/>
      <c r="BP43" s="1095"/>
      <c r="BQ43" s="1094"/>
      <c r="BR43" s="1095"/>
      <c r="BS43" s="1095"/>
      <c r="BT43" s="1095"/>
      <c r="BU43" s="1095"/>
      <c r="BV43" s="1095"/>
      <c r="BW43" s="1095"/>
      <c r="BX43" s="1095"/>
      <c r="BY43" s="1095"/>
      <c r="BZ43" s="1095"/>
      <c r="CA43" s="1095"/>
      <c r="CB43" s="1095"/>
    </row>
    <row r="44" spans="1:80" x14ac:dyDescent="0.45">
      <c r="A44" s="1096"/>
      <c r="B44" s="1097"/>
      <c r="C44" s="1094"/>
      <c r="D44" s="1095"/>
      <c r="E44" s="1094"/>
      <c r="F44" s="1095"/>
      <c r="G44" s="1095"/>
      <c r="H44" s="1095"/>
      <c r="I44" s="1095"/>
      <c r="J44" s="1095"/>
      <c r="K44" s="1095"/>
      <c r="L44" s="1095"/>
      <c r="M44" s="1095"/>
      <c r="N44" s="1095"/>
      <c r="O44" s="1095"/>
      <c r="P44" s="1095"/>
      <c r="Q44" s="1096"/>
      <c r="R44" s="1097"/>
      <c r="S44" s="1094"/>
      <c r="T44" s="1095"/>
      <c r="U44" s="1094"/>
      <c r="V44" s="1095"/>
      <c r="W44" s="1095"/>
      <c r="X44" s="1095"/>
      <c r="Y44" s="1095"/>
      <c r="Z44" s="1095"/>
      <c r="AA44" s="1095"/>
      <c r="AB44" s="1095"/>
      <c r="AC44" s="1095"/>
      <c r="AD44" s="1095"/>
      <c r="AE44" s="1095"/>
      <c r="AF44" s="1095"/>
      <c r="AG44" s="1096"/>
      <c r="AH44" s="1097"/>
      <c r="AI44" s="1094"/>
      <c r="AJ44" s="1095"/>
      <c r="AK44" s="1094"/>
      <c r="AL44" s="1095"/>
      <c r="AM44" s="1201" t="s">
        <v>122</v>
      </c>
      <c r="AN44" s="1095"/>
      <c r="AO44" s="1095"/>
      <c r="AP44" s="1095"/>
      <c r="AQ44" s="1095"/>
      <c r="AR44" s="1095"/>
      <c r="AS44" s="1095"/>
      <c r="AT44" s="1095"/>
      <c r="AU44" s="1095"/>
      <c r="AV44" s="1095"/>
      <c r="AW44" s="1096"/>
      <c r="AX44" s="1097"/>
      <c r="AY44" s="1094"/>
      <c r="AZ44" s="1095"/>
      <c r="BA44" s="1094"/>
      <c r="BB44" s="1095"/>
      <c r="BC44" s="1201" t="s">
        <v>122</v>
      </c>
      <c r="BD44" s="1095"/>
      <c r="BE44" s="1095"/>
      <c r="BF44" s="1095"/>
      <c r="BG44" s="1095"/>
      <c r="BH44" s="1095"/>
      <c r="BI44" s="1095"/>
      <c r="BJ44" s="1095"/>
      <c r="BK44" s="1095"/>
      <c r="BL44" s="1095"/>
      <c r="BM44" s="1096"/>
      <c r="BN44" s="1097"/>
      <c r="BO44" s="1094"/>
      <c r="BP44" s="1095"/>
      <c r="BQ44" s="1094"/>
      <c r="BR44" s="1095"/>
      <c r="BS44" s="1201" t="s">
        <v>122</v>
      </c>
      <c r="BT44" s="1095"/>
      <c r="BU44" s="1095"/>
      <c r="BV44" s="1095"/>
      <c r="BW44" s="1095"/>
      <c r="BX44" s="1095"/>
      <c r="BY44" s="1095"/>
      <c r="BZ44" s="1095"/>
      <c r="CA44" s="1095"/>
      <c r="CB44" s="1095"/>
    </row>
    <row r="45" spans="1:80" x14ac:dyDescent="0.45">
      <c r="A45" s="1096"/>
      <c r="B45" s="1097"/>
      <c r="C45" s="1094"/>
      <c r="D45" s="1095"/>
      <c r="E45" s="1094"/>
      <c r="F45" s="1095"/>
      <c r="G45" s="1095"/>
      <c r="H45" s="1095"/>
      <c r="I45" s="1095"/>
      <c r="J45" s="1095"/>
      <c r="K45" s="1095"/>
      <c r="L45" s="1095"/>
      <c r="M45" s="1095"/>
      <c r="N45" s="1095"/>
      <c r="O45" s="1095"/>
      <c r="P45" s="1095"/>
      <c r="Q45" s="1096"/>
      <c r="R45" s="1097"/>
      <c r="S45" s="1094"/>
      <c r="T45" s="1095"/>
      <c r="U45" s="1094"/>
      <c r="V45" s="1095"/>
      <c r="W45" s="1259" t="s">
        <v>122</v>
      </c>
      <c r="X45" s="1095"/>
      <c r="Y45" s="1095"/>
      <c r="Z45" s="1095"/>
      <c r="AA45" s="1095"/>
      <c r="AB45" s="1095"/>
      <c r="AC45" s="1095"/>
      <c r="AD45" s="1095"/>
      <c r="AE45" s="1095"/>
      <c r="AF45" s="1095"/>
      <c r="AG45" s="1096"/>
      <c r="AH45" s="1097"/>
      <c r="AI45" s="1094"/>
      <c r="AJ45" s="1095"/>
      <c r="AK45" s="1094"/>
      <c r="AL45" s="1095"/>
      <c r="AM45" s="1302" t="s">
        <v>123</v>
      </c>
      <c r="AN45" s="1095"/>
      <c r="AO45" s="1095"/>
      <c r="AP45" s="1095"/>
      <c r="AQ45" s="1095"/>
      <c r="AR45" s="1095"/>
      <c r="AS45" s="1095"/>
      <c r="AT45" s="1095"/>
      <c r="AU45" s="1095"/>
      <c r="AV45" s="1095"/>
      <c r="AW45" s="1096"/>
      <c r="AX45" s="1097"/>
      <c r="AY45" s="1094"/>
      <c r="AZ45" s="1095"/>
      <c r="BA45" s="1094"/>
      <c r="BB45" s="1095"/>
      <c r="BC45" s="1302" t="s">
        <v>123</v>
      </c>
      <c r="BD45" s="1095"/>
      <c r="BE45" s="1095"/>
      <c r="BF45" s="1095"/>
      <c r="BG45" s="1095"/>
      <c r="BH45" s="1095"/>
      <c r="BI45" s="1095"/>
      <c r="BJ45" s="1095"/>
      <c r="BK45" s="1095"/>
      <c r="BL45" s="1095"/>
      <c r="BM45" s="1096"/>
      <c r="BN45" s="1097"/>
      <c r="BO45" s="1094"/>
      <c r="BP45" s="1095"/>
      <c r="BQ45" s="1094"/>
      <c r="BR45" s="1095"/>
      <c r="BS45" s="1302" t="s">
        <v>123</v>
      </c>
      <c r="BT45" s="1095"/>
      <c r="BU45" s="1095"/>
      <c r="BV45" s="1095"/>
      <c r="BW45" s="1095"/>
      <c r="BX45" s="1095"/>
      <c r="BY45" s="1095"/>
      <c r="BZ45" s="1095"/>
      <c r="CA45" s="1095"/>
      <c r="CB45" s="1095"/>
    </row>
    <row r="46" spans="1:80" x14ac:dyDescent="0.45">
      <c r="A46" s="1096"/>
      <c r="B46" s="1097"/>
      <c r="C46" s="1094"/>
      <c r="D46" s="1095"/>
      <c r="E46" s="1094"/>
      <c r="F46" s="1095"/>
      <c r="G46" s="1259" t="s">
        <v>122</v>
      </c>
      <c r="H46" s="1095"/>
      <c r="I46" s="1095"/>
      <c r="J46" s="1095"/>
      <c r="K46" s="1095"/>
      <c r="L46" s="1095"/>
      <c r="M46" s="1095"/>
      <c r="N46" s="1095"/>
      <c r="O46" s="1095"/>
      <c r="P46" s="1095"/>
      <c r="Q46" s="1096"/>
      <c r="R46" s="1097"/>
      <c r="S46" s="1094"/>
      <c r="T46" s="1095"/>
      <c r="U46" s="1094"/>
      <c r="V46" s="1095"/>
      <c r="W46" s="1301" t="s">
        <v>124</v>
      </c>
      <c r="X46" s="1095"/>
      <c r="Y46" s="1095"/>
      <c r="Z46" s="1095"/>
      <c r="AA46" s="1095"/>
      <c r="AB46" s="1095"/>
      <c r="AC46" s="1095"/>
      <c r="AD46" s="1095"/>
      <c r="AE46" s="1095"/>
      <c r="AF46" s="1095"/>
      <c r="AG46" s="1096"/>
      <c r="AH46" s="1097"/>
      <c r="AI46" s="1094"/>
      <c r="AJ46" s="1095"/>
      <c r="AK46" s="1094"/>
      <c r="AL46" s="1095"/>
      <c r="AM46" s="1306" t="s">
        <v>125</v>
      </c>
      <c r="AN46" s="1095"/>
      <c r="AO46" s="1095"/>
      <c r="AP46" s="1095"/>
      <c r="AQ46" s="1095"/>
      <c r="AR46" s="1095"/>
      <c r="AS46" s="1095"/>
      <c r="AT46" s="1095"/>
      <c r="AU46" s="1095"/>
      <c r="AV46" s="1095"/>
      <c r="AW46" s="1096"/>
      <c r="AX46" s="1097"/>
      <c r="AY46" s="1094"/>
      <c r="AZ46" s="1095"/>
      <c r="BA46" s="1094"/>
      <c r="BB46" s="1095"/>
      <c r="BC46" s="1306" t="s">
        <v>125</v>
      </c>
      <c r="BD46" s="1095"/>
      <c r="BE46" s="1095"/>
      <c r="BF46" s="1095"/>
      <c r="BG46" s="1095"/>
      <c r="BH46" s="1095"/>
      <c r="BI46" s="1095"/>
      <c r="BJ46" s="1095"/>
      <c r="BK46" s="1095"/>
      <c r="BL46" s="1095"/>
      <c r="BM46" s="1096"/>
      <c r="BN46" s="1097"/>
      <c r="BO46" s="1094"/>
      <c r="BP46" s="1095"/>
      <c r="BQ46" s="1094"/>
      <c r="BR46" s="1095"/>
      <c r="BS46" s="1306" t="s">
        <v>125</v>
      </c>
      <c r="BT46" s="1095"/>
      <c r="BU46" s="1095"/>
      <c r="BV46" s="1095"/>
      <c r="BW46" s="1095"/>
      <c r="BX46" s="1095"/>
      <c r="BY46" s="1095"/>
      <c r="BZ46" s="1095"/>
      <c r="CA46" s="1095"/>
      <c r="CB46" s="1095"/>
    </row>
    <row r="47" spans="1:80" x14ac:dyDescent="0.45">
      <c r="A47" s="1096"/>
      <c r="B47" s="1097"/>
      <c r="C47" s="1094"/>
      <c r="D47" s="1095"/>
      <c r="E47" s="1094"/>
      <c r="F47" s="1095"/>
      <c r="G47" s="1301" t="s">
        <v>124</v>
      </c>
      <c r="H47" s="1095"/>
      <c r="I47" s="1095"/>
      <c r="J47" s="1095"/>
      <c r="K47" s="1095"/>
      <c r="L47" s="1095"/>
      <c r="M47" s="1095"/>
      <c r="N47" s="1095"/>
      <c r="O47" s="1095"/>
      <c r="P47" s="1095"/>
      <c r="Q47" s="1096"/>
      <c r="R47" s="1097"/>
      <c r="S47" s="1094"/>
      <c r="T47" s="1095"/>
      <c r="U47" s="1094"/>
      <c r="V47" s="1095"/>
      <c r="W47" s="1302" t="s">
        <v>123</v>
      </c>
      <c r="X47" s="1095"/>
      <c r="Y47" s="1095"/>
      <c r="Z47" s="1095"/>
      <c r="AA47" s="1095"/>
      <c r="AB47" s="1095"/>
      <c r="AC47" s="1095"/>
      <c r="AD47" s="1095"/>
      <c r="AE47" s="1095"/>
      <c r="AF47" s="1095"/>
      <c r="AG47" s="1096"/>
      <c r="AH47" s="1097"/>
      <c r="AI47" s="1094"/>
      <c r="AJ47" s="1095"/>
      <c r="AK47" s="1094"/>
      <c r="AL47" s="1095"/>
      <c r="AM47" s="1095"/>
      <c r="AN47" s="1095"/>
      <c r="AO47" s="1095"/>
      <c r="AP47" s="1095"/>
      <c r="AQ47" s="1095"/>
      <c r="AR47" s="1095"/>
      <c r="AS47" s="1095"/>
      <c r="AT47" s="1095"/>
      <c r="AU47" s="1095"/>
      <c r="AV47" s="1095"/>
      <c r="AW47" s="1096"/>
      <c r="AX47" s="1097"/>
      <c r="AY47" s="1094"/>
      <c r="AZ47" s="1095"/>
      <c r="BA47" s="1094"/>
      <c r="BB47" s="1095"/>
      <c r="BC47" s="1301" t="s">
        <v>294</v>
      </c>
      <c r="BD47" s="1095"/>
      <c r="BE47" s="1095"/>
      <c r="BF47" s="1095"/>
      <c r="BG47" s="1095"/>
      <c r="BH47" s="1095"/>
      <c r="BI47" s="1095"/>
      <c r="BJ47" s="1095"/>
      <c r="BK47" s="1095"/>
      <c r="BL47" s="1095"/>
      <c r="BM47" s="1096"/>
      <c r="BN47" s="1097"/>
      <c r="BO47" s="1094"/>
      <c r="BP47" s="1095"/>
      <c r="BQ47" s="1094"/>
      <c r="BR47" s="1095"/>
      <c r="BS47" s="1301" t="s">
        <v>294</v>
      </c>
      <c r="BT47" s="1095"/>
      <c r="BU47" s="1095"/>
      <c r="BV47" s="1095"/>
      <c r="BW47" s="1095"/>
      <c r="BX47" s="1095"/>
      <c r="BY47" s="1095"/>
      <c r="BZ47" s="1095"/>
      <c r="CA47" s="1095"/>
      <c r="CB47" s="1095"/>
    </row>
    <row r="48" spans="1:80" x14ac:dyDescent="0.45">
      <c r="A48" s="1096"/>
      <c r="B48" s="1097"/>
      <c r="C48" s="1094"/>
      <c r="D48" s="1095"/>
      <c r="E48" s="1094"/>
      <c r="F48" s="1095"/>
      <c r="G48" s="1302" t="s">
        <v>123</v>
      </c>
      <c r="H48" s="1095"/>
      <c r="I48" s="1095"/>
      <c r="J48" s="1095"/>
      <c r="K48" s="1095"/>
      <c r="L48" s="1095"/>
      <c r="M48" s="1095"/>
      <c r="N48" s="1095"/>
      <c r="O48" s="1095"/>
      <c r="P48" s="1095"/>
      <c r="Q48" s="1096"/>
      <c r="R48" s="1097"/>
      <c r="S48" s="1094"/>
      <c r="T48" s="1095"/>
      <c r="U48" s="1094"/>
      <c r="V48" s="1095"/>
      <c r="W48" s="1306" t="s">
        <v>125</v>
      </c>
      <c r="X48" s="1095"/>
      <c r="Y48" s="1095"/>
      <c r="Z48" s="1095"/>
      <c r="AA48" s="1095"/>
      <c r="AB48" s="1095"/>
      <c r="AC48" s="1095"/>
      <c r="AD48" s="1095"/>
      <c r="AE48" s="1095"/>
      <c r="AF48" s="1095"/>
      <c r="AG48" s="1096"/>
      <c r="AH48" s="1097"/>
      <c r="AI48" s="1094"/>
      <c r="AJ48" s="1095"/>
      <c r="AK48" s="1094"/>
      <c r="AL48" s="1095"/>
      <c r="AM48" s="1095"/>
      <c r="AN48" s="1095"/>
      <c r="AO48" s="1095"/>
      <c r="AP48" s="1095"/>
      <c r="AQ48" s="1095"/>
      <c r="AR48" s="1095"/>
      <c r="AS48" s="1095"/>
      <c r="AT48" s="1095"/>
      <c r="AU48" s="1095"/>
      <c r="AV48" s="1095"/>
      <c r="AW48" s="1096"/>
      <c r="AX48" s="1097"/>
      <c r="AY48" s="1094"/>
      <c r="AZ48" s="1095"/>
      <c r="BA48" s="1094"/>
      <c r="BB48" s="1095"/>
      <c r="BC48" s="1095"/>
      <c r="BD48" s="1095"/>
      <c r="BE48" s="1095"/>
      <c r="BF48" s="1095"/>
      <c r="BG48" s="1095"/>
      <c r="BH48" s="1095"/>
      <c r="BI48" s="1095"/>
      <c r="BJ48" s="1095"/>
      <c r="BK48" s="1095"/>
      <c r="BL48" s="1095"/>
      <c r="BM48" s="1096"/>
      <c r="BN48" s="1097"/>
      <c r="BO48" s="1094"/>
      <c r="BP48" s="1095"/>
      <c r="BQ48" s="1094"/>
      <c r="BR48" s="1095"/>
      <c r="BS48" s="1095"/>
      <c r="BT48" s="1095"/>
      <c r="BU48" s="1095"/>
      <c r="BV48" s="1095"/>
      <c r="BW48" s="1095"/>
      <c r="BX48" s="1095"/>
      <c r="BY48" s="1095"/>
      <c r="BZ48" s="1095"/>
      <c r="CA48" s="1095"/>
      <c r="CB48" s="1095"/>
    </row>
    <row r="49" spans="1:80" x14ac:dyDescent="0.45">
      <c r="A49" s="1096"/>
      <c r="B49" s="1097"/>
      <c r="C49" s="1094"/>
      <c r="D49" s="1095"/>
      <c r="E49" s="1094"/>
      <c r="F49" s="1095"/>
      <c r="G49" s="1306" t="s">
        <v>125</v>
      </c>
      <c r="H49" s="1095"/>
      <c r="I49" s="1095"/>
      <c r="J49" s="1095"/>
      <c r="K49" s="1095"/>
      <c r="L49" s="1095"/>
      <c r="M49" s="1095"/>
      <c r="N49" s="1095"/>
      <c r="O49" s="1095"/>
      <c r="P49" s="1095"/>
      <c r="Q49" s="1096"/>
      <c r="R49" s="1097"/>
      <c r="S49" s="1094"/>
      <c r="T49" s="1095"/>
      <c r="U49" s="1094"/>
      <c r="V49" s="1095"/>
      <c r="W49" s="1095"/>
      <c r="X49" s="1095"/>
      <c r="Y49" s="1095"/>
      <c r="Z49" s="1095"/>
      <c r="AA49" s="1095"/>
      <c r="AB49" s="1095"/>
      <c r="AC49" s="1095"/>
      <c r="AD49" s="1095"/>
      <c r="AE49" s="1095"/>
      <c r="AF49" s="1095"/>
      <c r="AG49" s="1096"/>
      <c r="AH49" s="1097"/>
      <c r="AI49" s="1094"/>
      <c r="AJ49" s="1095"/>
      <c r="AK49" s="1094"/>
      <c r="AL49" s="1095"/>
      <c r="AM49" s="1095"/>
      <c r="AN49" s="1095"/>
      <c r="AO49" s="1095"/>
      <c r="AP49" s="1095"/>
      <c r="AQ49" s="1095"/>
      <c r="AR49" s="1095"/>
      <c r="AS49" s="1095"/>
      <c r="AT49" s="1095"/>
      <c r="AU49" s="1095"/>
      <c r="AV49" s="1095"/>
      <c r="AW49" s="1096"/>
      <c r="AX49" s="1097"/>
      <c r="AY49" s="1094"/>
      <c r="AZ49" s="1095"/>
      <c r="BA49" s="1094"/>
      <c r="BB49" s="1095"/>
      <c r="BC49" s="1095"/>
      <c r="BD49" s="1095"/>
      <c r="BE49" s="1095"/>
      <c r="BF49" s="1095"/>
      <c r="BG49" s="1095"/>
      <c r="BH49" s="1095"/>
      <c r="BI49" s="1095"/>
      <c r="BJ49" s="1095"/>
      <c r="BK49" s="1095"/>
      <c r="BL49" s="1095"/>
      <c r="BM49" s="1096"/>
      <c r="BN49" s="1097"/>
      <c r="BO49" s="1094"/>
      <c r="BP49" s="1095"/>
      <c r="BQ49" s="1094"/>
      <c r="BR49" s="1095"/>
      <c r="BS49" s="1095"/>
      <c r="BT49" s="1095"/>
      <c r="BU49" s="1095"/>
      <c r="BV49" s="1095"/>
      <c r="BW49" s="1095"/>
      <c r="BX49" s="1095"/>
      <c r="BY49" s="1095"/>
      <c r="BZ49" s="1095"/>
      <c r="CA49" s="1095"/>
      <c r="CB49" s="1095"/>
    </row>
    <row r="50" spans="1:80" x14ac:dyDescent="0.45">
      <c r="A50" s="1096"/>
      <c r="B50" s="1097"/>
      <c r="C50" s="1094"/>
      <c r="D50" s="1095"/>
      <c r="E50" s="1094"/>
      <c r="F50" s="1095"/>
      <c r="G50" s="1095"/>
      <c r="H50" s="1095"/>
      <c r="I50" s="1095"/>
      <c r="J50" s="1095"/>
      <c r="K50" s="1095"/>
      <c r="L50" s="1095"/>
      <c r="M50" s="1095"/>
      <c r="N50" s="1095"/>
      <c r="O50" s="1095"/>
      <c r="P50" s="1095"/>
      <c r="Q50" s="1096"/>
      <c r="R50" s="1097"/>
      <c r="S50" s="1094"/>
      <c r="T50" s="1095"/>
      <c r="U50" s="1094"/>
      <c r="V50" s="1095"/>
      <c r="W50" s="1095"/>
      <c r="X50" s="1095"/>
      <c r="Y50" s="1095"/>
      <c r="Z50" s="1095"/>
      <c r="AA50" s="1095"/>
      <c r="AB50" s="1095"/>
      <c r="AC50" s="1095"/>
      <c r="AD50" s="1095"/>
      <c r="AE50" s="1095"/>
      <c r="AF50" s="1095"/>
      <c r="AG50" s="1096"/>
      <c r="AH50" s="1097"/>
      <c r="AI50" s="1094"/>
      <c r="AJ50" s="1095"/>
      <c r="AK50" s="1094"/>
      <c r="AL50" s="1095"/>
      <c r="AM50" s="1095"/>
      <c r="AN50" s="1095"/>
      <c r="AO50" s="1095"/>
      <c r="AP50" s="1095"/>
      <c r="AQ50" s="1095"/>
      <c r="AR50" s="1095"/>
      <c r="AS50" s="1095"/>
      <c r="AT50" s="1095"/>
      <c r="AU50" s="1095"/>
      <c r="AV50" s="1095"/>
      <c r="AW50" s="1096"/>
      <c r="AX50" s="1097"/>
      <c r="AY50" s="1094"/>
      <c r="AZ50" s="1095"/>
      <c r="BA50" s="1094"/>
      <c r="BB50" s="1095"/>
      <c r="BC50" s="1095"/>
      <c r="BD50" s="1095"/>
      <c r="BE50" s="1095"/>
      <c r="BF50" s="1095"/>
      <c r="BG50" s="1095"/>
      <c r="BH50" s="1095"/>
      <c r="BI50" s="1095"/>
      <c r="BJ50" s="1095"/>
      <c r="BK50" s="1095"/>
      <c r="BL50" s="1095"/>
      <c r="BM50" s="1096"/>
      <c r="BN50" s="1097"/>
      <c r="BO50" s="1094"/>
      <c r="BP50" s="1095"/>
      <c r="BQ50" s="1094"/>
      <c r="BR50" s="1095"/>
      <c r="BS50" s="1095"/>
      <c r="BT50" s="1095"/>
      <c r="BU50" s="1095"/>
      <c r="BV50" s="1095"/>
      <c r="BW50" s="1095"/>
      <c r="BX50" s="1095"/>
      <c r="BY50" s="1095"/>
      <c r="BZ50" s="1095"/>
      <c r="CA50" s="1095"/>
      <c r="CB50" s="1095"/>
    </row>
    <row r="51" spans="1:80" x14ac:dyDescent="0.45">
      <c r="A51" s="1096"/>
      <c r="B51" s="1097"/>
      <c r="C51" s="1094"/>
      <c r="D51" s="1095"/>
      <c r="E51" s="1094"/>
      <c r="F51" s="1095"/>
      <c r="G51" s="1095"/>
      <c r="H51" s="1095"/>
      <c r="I51" s="1095"/>
      <c r="J51" s="1095"/>
      <c r="K51" s="1095"/>
      <c r="L51" s="1095"/>
      <c r="M51" s="1095"/>
      <c r="N51" s="1095"/>
      <c r="O51" s="1095"/>
      <c r="P51" s="1095"/>
      <c r="Q51" s="1096"/>
      <c r="R51" s="1097"/>
      <c r="S51" s="1094"/>
      <c r="T51" s="1095"/>
      <c r="U51" s="1094"/>
      <c r="V51" s="1095"/>
      <c r="W51" s="1095"/>
      <c r="X51" s="1095"/>
      <c r="Y51" s="1095"/>
      <c r="Z51" s="1095"/>
      <c r="AA51" s="1095"/>
      <c r="AB51" s="1095"/>
      <c r="AC51" s="1095"/>
      <c r="AD51" s="1095"/>
      <c r="AE51" s="1095"/>
      <c r="AF51" s="1095"/>
      <c r="AG51" s="1096"/>
      <c r="AH51" s="1097"/>
      <c r="AI51" s="1094"/>
      <c r="AJ51" s="1095"/>
      <c r="AK51" s="1094"/>
      <c r="AL51" s="1095"/>
      <c r="AM51" s="1095"/>
      <c r="AN51" s="1095"/>
      <c r="AO51" s="1095"/>
      <c r="AP51" s="1095"/>
      <c r="AQ51" s="1095"/>
      <c r="AR51" s="1095"/>
      <c r="AS51" s="1095"/>
      <c r="AT51" s="1095"/>
      <c r="AU51" s="1095"/>
      <c r="AV51" s="1095"/>
      <c r="AW51" s="1096"/>
      <c r="AX51" s="1097"/>
      <c r="AY51" s="1094"/>
      <c r="AZ51" s="1095"/>
      <c r="BA51" s="1094"/>
      <c r="BB51" s="1095"/>
      <c r="BC51" s="1095"/>
      <c r="BD51" s="1095"/>
      <c r="BE51" s="1095"/>
      <c r="BF51" s="1095"/>
      <c r="BG51" s="1095"/>
      <c r="BH51" s="1095"/>
      <c r="BI51" s="1095"/>
      <c r="BJ51" s="1095"/>
      <c r="BK51" s="1095"/>
      <c r="BL51" s="1095"/>
      <c r="BM51" s="1096"/>
      <c r="BN51" s="1097"/>
      <c r="BO51" s="1094"/>
      <c r="BP51" s="1095"/>
      <c r="BQ51" s="1094"/>
      <c r="BR51" s="1095"/>
      <c r="BS51" s="1095"/>
      <c r="BT51" s="1095"/>
      <c r="BU51" s="1095"/>
      <c r="BV51" s="1095"/>
      <c r="BW51" s="1095"/>
      <c r="BX51" s="1095"/>
      <c r="BY51" s="1095"/>
      <c r="BZ51" s="1095"/>
      <c r="CA51" s="1095"/>
      <c r="CB51" s="1095"/>
    </row>
    <row r="52" spans="1:80" x14ac:dyDescent="0.45">
      <c r="A52" s="1096"/>
      <c r="B52" s="1097"/>
      <c r="C52" s="1094"/>
      <c r="D52" s="1095"/>
      <c r="E52" s="1094"/>
      <c r="F52" s="1095"/>
      <c r="G52" s="1095"/>
      <c r="H52" s="1095"/>
      <c r="I52" s="1095"/>
      <c r="J52" s="1095"/>
      <c r="K52" s="1095"/>
      <c r="L52" s="1095"/>
      <c r="M52" s="1095"/>
      <c r="N52" s="1095"/>
      <c r="O52" s="1095"/>
      <c r="P52" s="1095"/>
      <c r="Q52" s="1096"/>
      <c r="R52" s="1097"/>
      <c r="S52" s="1094"/>
      <c r="T52" s="1095"/>
      <c r="U52" s="1094"/>
      <c r="V52" s="1095"/>
      <c r="W52" s="1095"/>
      <c r="X52" s="1095"/>
      <c r="Y52" s="1095"/>
      <c r="Z52" s="1095"/>
      <c r="AA52" s="1095"/>
      <c r="AB52" s="1095"/>
      <c r="AC52" s="1095"/>
      <c r="AD52" s="1095"/>
      <c r="AE52" s="1095"/>
      <c r="AF52" s="1095"/>
      <c r="AG52" s="1096"/>
      <c r="AH52" s="1097"/>
      <c r="AI52" s="1094"/>
      <c r="AJ52" s="1095"/>
      <c r="AK52" s="1094"/>
      <c r="AL52" s="1095"/>
      <c r="AM52" s="1095"/>
      <c r="AN52" s="1095"/>
      <c r="AO52" s="1095"/>
      <c r="AP52" s="1095"/>
      <c r="AQ52" s="1095"/>
      <c r="AR52" s="1095"/>
      <c r="AS52" s="1095"/>
      <c r="AT52" s="1095"/>
      <c r="AU52" s="1095"/>
      <c r="AV52" s="1095"/>
      <c r="AW52" s="1096"/>
      <c r="AX52" s="1097"/>
      <c r="AY52" s="1094"/>
      <c r="AZ52" s="1095"/>
      <c r="BA52" s="1094"/>
      <c r="BB52" s="1095"/>
      <c r="BC52" s="1095"/>
      <c r="BD52" s="1095"/>
      <c r="BE52" s="1095"/>
      <c r="BF52" s="1095"/>
      <c r="BG52" s="1095"/>
      <c r="BH52" s="1095"/>
      <c r="BI52" s="1095"/>
      <c r="BJ52" s="1095"/>
      <c r="BK52" s="1095"/>
      <c r="BL52" s="1095"/>
      <c r="BM52" s="1096"/>
      <c r="BN52" s="1097"/>
      <c r="BO52" s="1094"/>
      <c r="BP52" s="1095"/>
      <c r="BQ52" s="1094"/>
      <c r="BR52" s="1095"/>
      <c r="BS52" s="1095"/>
      <c r="BT52" s="1095"/>
      <c r="BU52" s="1095"/>
      <c r="BV52" s="1095"/>
      <c r="BW52" s="1095"/>
      <c r="BX52" s="1095"/>
      <c r="BY52" s="1095"/>
      <c r="BZ52" s="1095"/>
      <c r="CA52" s="1095"/>
      <c r="CB52" s="1095"/>
    </row>
    <row r="53" spans="1:80" x14ac:dyDescent="0.45">
      <c r="A53" s="1096"/>
      <c r="B53" s="1097"/>
      <c r="C53" s="1094"/>
      <c r="D53" s="1095"/>
      <c r="E53" s="1094"/>
      <c r="F53" s="1095"/>
      <c r="G53" s="1095"/>
      <c r="H53" s="1095"/>
      <c r="I53" s="1095"/>
      <c r="J53" s="1095"/>
      <c r="K53" s="1095"/>
      <c r="L53" s="1095"/>
      <c r="M53" s="1095"/>
      <c r="N53" s="1095"/>
      <c r="O53" s="1095"/>
      <c r="P53" s="1095"/>
      <c r="Q53" s="1096"/>
      <c r="R53" s="1097"/>
      <c r="S53" s="1094"/>
      <c r="T53" s="1095"/>
      <c r="U53" s="1094"/>
      <c r="V53" s="1095"/>
      <c r="W53" s="1095"/>
      <c r="X53" s="1095"/>
      <c r="Y53" s="1095"/>
      <c r="Z53" s="1095"/>
      <c r="AA53" s="1095"/>
      <c r="AB53" s="1095"/>
      <c r="AC53" s="1095"/>
      <c r="AD53" s="1095"/>
      <c r="AE53" s="1095"/>
      <c r="AF53" s="1095"/>
      <c r="AG53" s="1096"/>
      <c r="AH53" s="1097"/>
      <c r="AI53" s="1094"/>
      <c r="AJ53" s="1095"/>
      <c r="AK53" s="1094"/>
      <c r="AL53" s="1095"/>
      <c r="AM53" s="1095"/>
      <c r="AN53" s="1095"/>
      <c r="AO53" s="1095"/>
      <c r="AP53" s="1095"/>
      <c r="AQ53" s="1095"/>
      <c r="AR53" s="1095"/>
      <c r="AS53" s="1095"/>
      <c r="AT53" s="1095"/>
      <c r="AU53" s="1095"/>
      <c r="AV53" s="1095"/>
      <c r="AW53" s="1096"/>
      <c r="AX53" s="1097"/>
      <c r="AY53" s="1094"/>
      <c r="AZ53" s="1095"/>
      <c r="BA53" s="1094"/>
      <c r="BB53" s="1095"/>
      <c r="BC53" s="1095"/>
      <c r="BD53" s="1095"/>
      <c r="BE53" s="1095"/>
      <c r="BF53" s="1095"/>
      <c r="BG53" s="1095"/>
      <c r="BH53" s="1095"/>
      <c r="BI53" s="1095"/>
      <c r="BJ53" s="1095"/>
      <c r="BK53" s="1095"/>
      <c r="BL53" s="1095"/>
      <c r="BM53" s="1096"/>
      <c r="BN53" s="1097"/>
      <c r="BO53" s="1094"/>
      <c r="BP53" s="1095"/>
      <c r="BQ53" s="1094"/>
      <c r="BR53" s="1095"/>
      <c r="BS53" s="1095"/>
      <c r="BT53" s="1095"/>
      <c r="BU53" s="1095"/>
      <c r="BV53" s="1095"/>
      <c r="BW53" s="1095"/>
      <c r="BX53" s="1095"/>
      <c r="BY53" s="1095"/>
      <c r="BZ53" s="1095"/>
      <c r="CA53" s="1095"/>
      <c r="CB53" s="1095"/>
    </row>
    <row r="54" spans="1:80" x14ac:dyDescent="0.45">
      <c r="A54" s="1096"/>
      <c r="B54" s="1097"/>
      <c r="C54" s="1094"/>
      <c r="D54" s="1095"/>
      <c r="E54" s="1094"/>
      <c r="F54" s="1095"/>
      <c r="G54" s="1095"/>
      <c r="H54" s="1095"/>
      <c r="I54" s="1095"/>
      <c r="J54" s="1095"/>
      <c r="K54" s="1095"/>
      <c r="L54" s="1095"/>
      <c r="M54" s="1095"/>
      <c r="N54" s="1095"/>
      <c r="O54" s="1095"/>
      <c r="P54" s="1095"/>
      <c r="Q54" s="1096"/>
      <c r="R54" s="1097"/>
      <c r="S54" s="1094"/>
      <c r="T54" s="1095"/>
      <c r="U54" s="1094"/>
      <c r="V54" s="1095"/>
      <c r="W54" s="1095"/>
      <c r="X54" s="1095"/>
      <c r="Y54" s="1095"/>
      <c r="Z54" s="1095"/>
      <c r="AA54" s="1095"/>
      <c r="AB54" s="1095"/>
      <c r="AC54" s="1095"/>
      <c r="AD54" s="1095"/>
      <c r="AE54" s="1095"/>
      <c r="AF54" s="1095"/>
      <c r="AG54" s="1096"/>
      <c r="AH54" s="1097"/>
      <c r="AI54" s="1094"/>
      <c r="AJ54" s="1095"/>
      <c r="AK54" s="1094"/>
      <c r="AL54" s="1095"/>
      <c r="AM54" s="1095"/>
      <c r="AN54" s="1095"/>
      <c r="AO54" s="1095"/>
      <c r="AP54" s="1095"/>
      <c r="AQ54" s="1095"/>
      <c r="AR54" s="1095"/>
      <c r="AS54" s="1095"/>
      <c r="AT54" s="1095"/>
      <c r="AU54" s="1095"/>
      <c r="AV54" s="1095"/>
      <c r="AW54" s="1096"/>
      <c r="AX54" s="1097"/>
      <c r="AY54" s="1094"/>
      <c r="AZ54" s="1095"/>
      <c r="BA54" s="1094"/>
      <c r="BB54" s="1095"/>
      <c r="BC54" s="1095"/>
      <c r="BD54" s="1095"/>
      <c r="BE54" s="1095"/>
      <c r="BF54" s="1095"/>
      <c r="BG54" s="1095"/>
      <c r="BH54" s="1095"/>
      <c r="BI54" s="1095"/>
      <c r="BJ54" s="1095"/>
      <c r="BK54" s="1095"/>
      <c r="BL54" s="1095"/>
      <c r="BM54" s="1096"/>
      <c r="BN54" s="1097"/>
      <c r="BO54" s="1094"/>
      <c r="BP54" s="1095"/>
      <c r="BQ54" s="1094"/>
      <c r="BR54" s="1095"/>
      <c r="BS54" s="1095"/>
      <c r="BT54" s="1095"/>
      <c r="BU54" s="1095"/>
      <c r="BV54" s="1095"/>
      <c r="BW54" s="1095"/>
      <c r="BX54" s="1095"/>
      <c r="BY54" s="1095"/>
      <c r="BZ54" s="1095"/>
      <c r="CA54" s="1095"/>
      <c r="CB54" s="1095"/>
    </row>
    <row r="55" spans="1:80" x14ac:dyDescent="0.45">
      <c r="A55" s="1096"/>
      <c r="B55" s="1097"/>
      <c r="C55" s="1094"/>
      <c r="D55" s="1095"/>
      <c r="E55" s="1094"/>
      <c r="F55" s="1095"/>
      <c r="G55" s="1095"/>
      <c r="H55" s="1095"/>
      <c r="I55" s="1095"/>
      <c r="J55" s="1095"/>
      <c r="K55" s="1095"/>
      <c r="L55" s="1095"/>
      <c r="M55" s="1095"/>
      <c r="N55" s="1095"/>
      <c r="O55" s="1095"/>
      <c r="P55" s="1095"/>
      <c r="Q55" s="1096"/>
      <c r="R55" s="1097"/>
      <c r="S55" s="1094"/>
      <c r="T55" s="1095"/>
      <c r="U55" s="1094"/>
      <c r="V55" s="1095"/>
      <c r="W55" s="1095"/>
      <c r="X55" s="1095"/>
      <c r="Y55" s="1095"/>
      <c r="Z55" s="1095"/>
      <c r="AA55" s="1095"/>
      <c r="AB55" s="1095"/>
      <c r="AC55" s="1095"/>
      <c r="AD55" s="1095"/>
      <c r="AE55" s="1095"/>
      <c r="AF55" s="1095"/>
      <c r="AG55" s="1096"/>
      <c r="AH55" s="1097"/>
      <c r="AI55" s="1094"/>
      <c r="AJ55" s="1095"/>
      <c r="AK55" s="1094"/>
      <c r="AL55" s="1095"/>
      <c r="AM55" s="1095"/>
      <c r="AN55" s="1095"/>
      <c r="AO55" s="1095"/>
      <c r="AP55" s="1095"/>
      <c r="AQ55" s="1095"/>
      <c r="AR55" s="1095"/>
      <c r="AS55" s="1095"/>
      <c r="AT55" s="1095"/>
      <c r="AU55" s="1095"/>
      <c r="AV55" s="1095"/>
      <c r="AW55" s="1096"/>
      <c r="AX55" s="1097"/>
      <c r="AY55" s="1094"/>
      <c r="AZ55" s="1095"/>
      <c r="BA55" s="1094"/>
      <c r="BB55" s="1095"/>
      <c r="BC55" s="1095"/>
      <c r="BD55" s="1095"/>
      <c r="BE55" s="1095"/>
      <c r="BF55" s="1095"/>
      <c r="BG55" s="1095"/>
      <c r="BH55" s="1095"/>
      <c r="BI55" s="1095"/>
      <c r="BJ55" s="1095"/>
      <c r="BK55" s="1095"/>
      <c r="BL55" s="1095"/>
      <c r="BM55" s="1096"/>
      <c r="BN55" s="1097"/>
      <c r="BO55" s="1094"/>
      <c r="BP55" s="1095"/>
      <c r="BQ55" s="1094"/>
      <c r="BR55" s="1095"/>
      <c r="BS55" s="1095"/>
      <c r="BT55" s="1095"/>
      <c r="BU55" s="1095"/>
      <c r="BV55" s="1095"/>
      <c r="BW55" s="1095"/>
      <c r="BX55" s="1095"/>
      <c r="BY55" s="1095"/>
      <c r="BZ55" s="1095"/>
      <c r="CA55" s="1095"/>
      <c r="CB55" s="1095"/>
    </row>
    <row r="56" spans="1:80" x14ac:dyDescent="0.45">
      <c r="A56" s="1096"/>
      <c r="B56" s="1097"/>
      <c r="C56" s="1094"/>
      <c r="D56" s="1095"/>
      <c r="E56" s="1094"/>
      <c r="F56" s="1095"/>
      <c r="G56" s="1095"/>
      <c r="H56" s="1095"/>
      <c r="I56" s="1095"/>
      <c r="J56" s="1095"/>
      <c r="K56" s="1095"/>
      <c r="L56" s="1095"/>
      <c r="M56" s="1095"/>
      <c r="N56" s="1095"/>
      <c r="O56" s="1095"/>
      <c r="P56" s="1095"/>
      <c r="Q56" s="1096"/>
      <c r="R56" s="1097"/>
      <c r="S56" s="1094"/>
      <c r="T56" s="1095"/>
      <c r="U56" s="1094"/>
      <c r="V56" s="1095"/>
      <c r="W56" s="1095"/>
      <c r="X56" s="1095"/>
      <c r="Y56" s="1095"/>
      <c r="Z56" s="1095"/>
      <c r="AA56" s="1095"/>
      <c r="AB56" s="1095"/>
      <c r="AC56" s="1095"/>
      <c r="AD56" s="1095"/>
      <c r="AE56" s="1095"/>
      <c r="AF56" s="1095"/>
      <c r="AG56" s="1096"/>
      <c r="AH56" s="1097"/>
      <c r="AI56" s="1094"/>
      <c r="AJ56" s="1095"/>
      <c r="AK56" s="1094"/>
      <c r="AL56" s="1095"/>
      <c r="AM56" s="1095"/>
      <c r="AN56" s="1095"/>
      <c r="AO56" s="1095"/>
      <c r="AP56" s="1095"/>
      <c r="AQ56" s="1095"/>
      <c r="AR56" s="1095"/>
      <c r="AS56" s="1095"/>
      <c r="AT56" s="1095"/>
      <c r="AU56" s="1095"/>
      <c r="AV56" s="1095"/>
      <c r="AW56" s="1096"/>
      <c r="AX56" s="1097"/>
      <c r="AY56" s="1094"/>
      <c r="AZ56" s="1095"/>
      <c r="BA56" s="1094"/>
      <c r="BB56" s="1095"/>
      <c r="BC56" s="1095"/>
      <c r="BD56" s="1095"/>
      <c r="BE56" s="1095"/>
      <c r="BF56" s="1095"/>
      <c r="BG56" s="1095"/>
      <c r="BH56" s="1095"/>
      <c r="BI56" s="1095"/>
      <c r="BJ56" s="1095"/>
      <c r="BK56" s="1095"/>
      <c r="BL56" s="1095"/>
      <c r="BM56" s="1096"/>
      <c r="BN56" s="1097"/>
      <c r="BO56" s="1094"/>
      <c r="BP56" s="1095"/>
      <c r="BQ56" s="1094"/>
      <c r="BR56" s="1095"/>
      <c r="BS56" s="1095"/>
      <c r="BT56" s="1095"/>
      <c r="BU56" s="1095"/>
      <c r="BV56" s="1095"/>
      <c r="BW56" s="1095"/>
      <c r="BX56" s="1095"/>
      <c r="BY56" s="1095"/>
      <c r="BZ56" s="1095"/>
      <c r="CA56" s="1095"/>
      <c r="CB56" s="1095"/>
    </row>
    <row r="57" spans="1:80" x14ac:dyDescent="0.45">
      <c r="A57" s="1096"/>
      <c r="B57" s="1097"/>
      <c r="C57" s="1094"/>
      <c r="D57" s="1095"/>
      <c r="E57" s="1094"/>
      <c r="F57" s="1095"/>
      <c r="G57" s="1095"/>
      <c r="H57" s="1095"/>
      <c r="I57" s="1095"/>
      <c r="J57" s="1095"/>
      <c r="K57" s="1095"/>
      <c r="L57" s="1095"/>
      <c r="M57" s="1095"/>
      <c r="N57" s="1095"/>
      <c r="O57" s="1095"/>
      <c r="P57" s="1095"/>
      <c r="Q57" s="1096"/>
      <c r="R57" s="1097"/>
      <c r="S57" s="1094"/>
      <c r="T57" s="1095"/>
      <c r="U57" s="1094"/>
      <c r="V57" s="1095"/>
      <c r="W57" s="1095"/>
      <c r="X57" s="1095"/>
      <c r="Y57" s="1095"/>
      <c r="Z57" s="1095"/>
      <c r="AA57" s="1095"/>
      <c r="AB57" s="1095"/>
      <c r="AC57" s="1095"/>
      <c r="AD57" s="1095"/>
      <c r="AE57" s="1095"/>
      <c r="AF57" s="1095"/>
      <c r="AG57" s="1096"/>
      <c r="AH57" s="1097"/>
      <c r="AI57" s="1094"/>
      <c r="AJ57" s="1095"/>
      <c r="AK57" s="1094"/>
      <c r="AL57" s="1095"/>
      <c r="AM57" s="1095"/>
      <c r="AN57" s="1095"/>
      <c r="AO57" s="1095"/>
      <c r="AP57" s="1095"/>
      <c r="AQ57" s="1095"/>
      <c r="AR57" s="1095"/>
      <c r="AS57" s="1095"/>
      <c r="AT57" s="1095"/>
      <c r="AU57" s="1095"/>
      <c r="AV57" s="1095"/>
      <c r="AW57" s="1096"/>
      <c r="AX57" s="1097"/>
      <c r="AY57" s="1094"/>
      <c r="AZ57" s="1095"/>
      <c r="BA57" s="1094"/>
      <c r="BB57" s="1095"/>
      <c r="BC57" s="1095"/>
      <c r="BD57" s="1095"/>
      <c r="BE57" s="1095"/>
      <c r="BF57" s="1095"/>
      <c r="BG57" s="1095"/>
      <c r="BH57" s="1095"/>
      <c r="BI57" s="1095"/>
      <c r="BJ57" s="1095"/>
      <c r="BK57" s="1095"/>
      <c r="BL57" s="1095"/>
      <c r="BM57" s="1096"/>
      <c r="BN57" s="1097"/>
      <c r="BO57" s="1094"/>
      <c r="BP57" s="1095"/>
      <c r="BQ57" s="1094"/>
      <c r="BR57" s="1095"/>
      <c r="BS57" s="1095"/>
      <c r="BT57" s="1095"/>
      <c r="BU57" s="1095"/>
      <c r="BV57" s="1095"/>
      <c r="BW57" s="1095"/>
      <c r="BX57" s="1095"/>
      <c r="BY57" s="1095"/>
      <c r="BZ57" s="1095"/>
      <c r="CA57" s="1095"/>
      <c r="CB57" s="1095"/>
    </row>
    <row r="58" spans="1:80" x14ac:dyDescent="0.45">
      <c r="A58" s="1096"/>
      <c r="B58" s="1097"/>
      <c r="C58" s="1094"/>
      <c r="D58" s="1095"/>
      <c r="E58" s="1094"/>
      <c r="F58" s="1095"/>
      <c r="G58" s="1095"/>
      <c r="H58" s="1095"/>
      <c r="I58" s="1095"/>
      <c r="J58" s="1095"/>
      <c r="K58" s="1095"/>
      <c r="L58" s="1095"/>
      <c r="M58" s="1095"/>
      <c r="N58" s="1095"/>
      <c r="O58" s="1095"/>
      <c r="P58" s="1095"/>
      <c r="Q58" s="1096"/>
      <c r="R58" s="1097"/>
      <c r="S58" s="1094"/>
      <c r="T58" s="1095"/>
      <c r="U58" s="1094"/>
      <c r="V58" s="1095"/>
      <c r="W58" s="1095"/>
      <c r="X58" s="1095"/>
      <c r="Y58" s="1095"/>
      <c r="Z58" s="1095"/>
      <c r="AA58" s="1095"/>
      <c r="AB58" s="1095"/>
      <c r="AC58" s="1095"/>
      <c r="AD58" s="1095"/>
      <c r="AE58" s="1095"/>
      <c r="AF58" s="1095"/>
      <c r="AG58" s="1096"/>
      <c r="AH58" s="1097"/>
      <c r="AI58" s="1094"/>
      <c r="AJ58" s="1095"/>
      <c r="AK58" s="1094"/>
      <c r="AL58" s="1095"/>
      <c r="AM58" s="1095"/>
      <c r="AN58" s="1095"/>
      <c r="AO58" s="1095"/>
      <c r="AP58" s="1095"/>
      <c r="AQ58" s="1095"/>
      <c r="AR58" s="1095"/>
      <c r="AS58" s="1095"/>
      <c r="AT58" s="1095"/>
      <c r="AU58" s="1095"/>
      <c r="AV58" s="1095"/>
      <c r="AW58" s="1096"/>
      <c r="AX58" s="1097"/>
      <c r="AY58" s="1094"/>
      <c r="AZ58" s="1095"/>
      <c r="BA58" s="1094"/>
      <c r="BB58" s="1095"/>
      <c r="BC58" s="1095"/>
      <c r="BD58" s="1095"/>
      <c r="BE58" s="1095"/>
      <c r="BF58" s="1095"/>
      <c r="BG58" s="1095"/>
      <c r="BH58" s="1095"/>
      <c r="BI58" s="1095"/>
      <c r="BJ58" s="1095"/>
      <c r="BK58" s="1095"/>
      <c r="BL58" s="1095"/>
      <c r="BM58" s="1096"/>
      <c r="BN58" s="1097"/>
      <c r="BO58" s="1094"/>
      <c r="BP58" s="1095"/>
      <c r="BQ58" s="1094"/>
      <c r="BR58" s="1095"/>
      <c r="BS58" s="1095"/>
      <c r="BT58" s="1095"/>
      <c r="BU58" s="1095"/>
      <c r="BV58" s="1095"/>
      <c r="BW58" s="1095"/>
      <c r="BX58" s="1095"/>
      <c r="BY58" s="1095"/>
      <c r="BZ58" s="1095"/>
      <c r="CA58" s="1095"/>
      <c r="CB58" s="1095"/>
    </row>
  </sheetData>
  <mergeCells count="91">
    <mergeCell ref="A1:P1"/>
    <mergeCell ref="R1:R2"/>
    <mergeCell ref="S1:U1"/>
    <mergeCell ref="W1:Y1"/>
    <mergeCell ref="Z1:AF1"/>
    <mergeCell ref="U2:V2"/>
    <mergeCell ref="W2:X2"/>
    <mergeCell ref="Y2:Z2"/>
    <mergeCell ref="AA2:AB2"/>
    <mergeCell ref="B2:B3"/>
    <mergeCell ref="C2:E2"/>
    <mergeCell ref="G2:I2"/>
    <mergeCell ref="J2:P2"/>
    <mergeCell ref="S2:T2"/>
    <mergeCell ref="AC2:AD2"/>
    <mergeCell ref="AE2:AF2"/>
    <mergeCell ref="BC1:BE1"/>
    <mergeCell ref="AQ2:AR2"/>
    <mergeCell ref="AS2:AT2"/>
    <mergeCell ref="AU2:AV2"/>
    <mergeCell ref="AY2:AZ2"/>
    <mergeCell ref="BN1:BN2"/>
    <mergeCell ref="BO1:BQ1"/>
    <mergeCell ref="BS1:BU1"/>
    <mergeCell ref="BV1:CB1"/>
    <mergeCell ref="BK2:BL2"/>
    <mergeCell ref="CA2:CB2"/>
    <mergeCell ref="BQ2:BR2"/>
    <mergeCell ref="BS2:BT2"/>
    <mergeCell ref="BU2:BV2"/>
    <mergeCell ref="BW2:BX2"/>
    <mergeCell ref="BY2:BZ2"/>
    <mergeCell ref="AH1:AH2"/>
    <mergeCell ref="BA2:BB2"/>
    <mergeCell ref="BC2:BD2"/>
    <mergeCell ref="BE2:BF2"/>
    <mergeCell ref="BG2:BH2"/>
    <mergeCell ref="BF1:BL1"/>
    <mergeCell ref="BI2:BJ2"/>
    <mergeCell ref="AI1:AK1"/>
    <mergeCell ref="AM1:AO1"/>
    <mergeCell ref="AP1:AV1"/>
    <mergeCell ref="AX1:AX2"/>
    <mergeCell ref="AY1:BA1"/>
    <mergeCell ref="AI2:AJ2"/>
    <mergeCell ref="AK2:AL2"/>
    <mergeCell ref="AM2:AN2"/>
    <mergeCell ref="AO2:AP2"/>
    <mergeCell ref="C3:D3"/>
    <mergeCell ref="E3:F3"/>
    <mergeCell ref="G3:H3"/>
    <mergeCell ref="I3:J3"/>
    <mergeCell ref="K3:L3"/>
    <mergeCell ref="M3:N3"/>
    <mergeCell ref="O3:P3"/>
    <mergeCell ref="S3:T3"/>
    <mergeCell ref="U3:V3"/>
    <mergeCell ref="BO2:BP2"/>
    <mergeCell ref="AU3:AV3"/>
    <mergeCell ref="W3:X3"/>
    <mergeCell ref="Y3:Z3"/>
    <mergeCell ref="AA3:AB3"/>
    <mergeCell ref="AC3:AD3"/>
    <mergeCell ref="AE3:AF3"/>
    <mergeCell ref="AI3:AJ3"/>
    <mergeCell ref="AK3:AL3"/>
    <mergeCell ref="AM3:AN3"/>
    <mergeCell ref="AO3:AP3"/>
    <mergeCell ref="AQ3:AR3"/>
    <mergeCell ref="AS3:AT3"/>
    <mergeCell ref="BA3:BB3"/>
    <mergeCell ref="BC3:BD3"/>
    <mergeCell ref="BE3:BF3"/>
    <mergeCell ref="BG3:BH3"/>
    <mergeCell ref="AY3:AZ3"/>
    <mergeCell ref="BI3:BJ3"/>
    <mergeCell ref="BY3:BZ3"/>
    <mergeCell ref="CA3:CB3"/>
    <mergeCell ref="C4:D4"/>
    <mergeCell ref="E4:F4"/>
    <mergeCell ref="G4:H4"/>
    <mergeCell ref="I4:J4"/>
    <mergeCell ref="K4:L4"/>
    <mergeCell ref="M4:N4"/>
    <mergeCell ref="O4:P4"/>
    <mergeCell ref="BK3:BL3"/>
    <mergeCell ref="BO3:BP3"/>
    <mergeCell ref="BQ3:BR3"/>
    <mergeCell ref="BS3:BT3"/>
    <mergeCell ref="BU3:BV3"/>
    <mergeCell ref="BW3:BX3"/>
  </mergeCells>
  <pageMargins left="0.70866141732283461" right="0.70866141732283461" top="0.74803149606299213" bottom="0.74803149606299213" header="0.31496062992125984" footer="0.31496062992125984"/>
  <pageSetup paperSize="9" scale="45" orientation="landscape" r:id="rId1"/>
  <headerFooter>
    <oddHeader>&amp;R&amp;"Calibri"&amp;10&amp;K000000 Público&amp;1#_x000D_</oddHeader>
    <oddFooter>&amp;L_x000D_&amp;1#&amp;"Calibri"&amp;10&amp;K000000 Público</oddFooter>
  </headerFooter>
  <colBreaks count="1" manualBreakCount="1">
    <brk id="16" max="51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1741E-2DC0-4793-90E0-E9A7E8F46693}">
  <dimension ref="B1:Q19"/>
  <sheetViews>
    <sheetView workbookViewId="0">
      <selection activeCell="I28" sqref="I28"/>
    </sheetView>
  </sheetViews>
  <sheetFormatPr baseColWidth="10" defaultColWidth="11.42578125" defaultRowHeight="15" x14ac:dyDescent="0.25"/>
  <cols>
    <col min="2" max="2" width="16.42578125" bestFit="1" customWidth="1"/>
  </cols>
  <sheetData>
    <row r="1" spans="2:17" ht="15.75" thickBot="1" x14ac:dyDescent="0.3"/>
    <row r="2" spans="2:17" ht="16.5" thickBot="1" x14ac:dyDescent="0.3">
      <c r="B2" s="2236" t="s">
        <v>175</v>
      </c>
      <c r="C2" s="2237"/>
      <c r="D2" s="2237"/>
      <c r="E2" s="2237"/>
      <c r="F2" s="2237"/>
      <c r="G2" s="2237"/>
      <c r="H2" s="2237"/>
      <c r="I2" s="2237"/>
      <c r="J2" s="2237"/>
      <c r="K2" s="2237"/>
      <c r="L2" s="2237"/>
      <c r="M2" s="2237"/>
      <c r="N2" s="2237"/>
      <c r="O2" s="2237"/>
      <c r="P2" s="2237"/>
      <c r="Q2" s="2238"/>
    </row>
    <row r="3" spans="2:17" ht="15.75" thickBot="1" x14ac:dyDescent="0.3">
      <c r="B3" s="1" t="s">
        <v>7</v>
      </c>
      <c r="C3" s="2239"/>
      <c r="D3" s="2240"/>
      <c r="E3" s="2241"/>
      <c r="F3" s="2242"/>
      <c r="G3" s="983" t="s">
        <v>3</v>
      </c>
      <c r="H3" s="2240"/>
      <c r="I3" s="2241"/>
      <c r="J3" s="2242"/>
      <c r="K3" s="2243"/>
      <c r="L3" s="2244"/>
      <c r="M3" s="2244"/>
      <c r="N3" s="2244"/>
      <c r="O3" s="2244"/>
      <c r="P3" s="2244"/>
      <c r="Q3" s="2245"/>
    </row>
    <row r="4" spans="2:17" ht="15.75" thickBot="1" x14ac:dyDescent="0.3">
      <c r="B4" s="2"/>
      <c r="C4" s="2225"/>
      <c r="D4" s="2246" t="s">
        <v>9</v>
      </c>
      <c r="E4" s="2247"/>
      <c r="F4" s="2248" t="s">
        <v>10</v>
      </c>
      <c r="G4" s="2247"/>
      <c r="H4" s="2249" t="s">
        <v>11</v>
      </c>
      <c r="I4" s="2250"/>
      <c r="J4" s="2248" t="s">
        <v>12</v>
      </c>
      <c r="K4" s="2251"/>
      <c r="L4" s="2258" t="s">
        <v>13</v>
      </c>
      <c r="M4" s="2259"/>
      <c r="N4" s="2260" t="s">
        <v>14</v>
      </c>
      <c r="O4" s="2259"/>
      <c r="P4" s="2260" t="s">
        <v>15</v>
      </c>
      <c r="Q4" s="2261"/>
    </row>
    <row r="5" spans="2:17" ht="15.75" thickBot="1" x14ac:dyDescent="0.3">
      <c r="B5" s="3" t="s">
        <v>16</v>
      </c>
      <c r="C5" s="932" t="s">
        <v>17</v>
      </c>
      <c r="D5" s="2235">
        <v>46219</v>
      </c>
      <c r="E5" s="2230"/>
      <c r="F5" s="2229">
        <f>D5+1</f>
        <v>46220</v>
      </c>
      <c r="G5" s="2230"/>
      <c r="H5" s="2231">
        <f>F5+1</f>
        <v>46221</v>
      </c>
      <c r="I5" s="2232"/>
      <c r="J5" s="2229">
        <f>H5+1</f>
        <v>46222</v>
      </c>
      <c r="K5" s="2233"/>
      <c r="L5" s="2229">
        <f>J5+1</f>
        <v>46223</v>
      </c>
      <c r="M5" s="2230"/>
      <c r="N5" s="2229">
        <f>L5+1</f>
        <v>46224</v>
      </c>
      <c r="O5" s="2230"/>
      <c r="P5" s="2229">
        <f>N5+1</f>
        <v>46225</v>
      </c>
      <c r="Q5" s="2234"/>
    </row>
    <row r="6" spans="2:17" ht="15.75" x14ac:dyDescent="0.25">
      <c r="B6" s="1194" t="s">
        <v>176</v>
      </c>
      <c r="C6" s="9" t="s">
        <v>19</v>
      </c>
      <c r="D6" s="1788" t="s">
        <v>93</v>
      </c>
      <c r="E6" s="1185" t="s">
        <v>93</v>
      </c>
      <c r="F6" s="1185" t="s">
        <v>94</v>
      </c>
      <c r="G6" s="1185" t="s">
        <v>94</v>
      </c>
      <c r="H6" s="1789">
        <v>0.79166666666666663</v>
      </c>
      <c r="I6" s="1789">
        <v>4.1666666666666664E-2</v>
      </c>
      <c r="J6" s="1789">
        <v>0.79166666666666663</v>
      </c>
      <c r="K6" s="1789">
        <v>4.1666666666666664E-2</v>
      </c>
      <c r="L6" s="930">
        <v>0.5</v>
      </c>
      <c r="M6" s="930">
        <v>0.79166666666666663</v>
      </c>
      <c r="N6" s="930">
        <v>0.5</v>
      </c>
      <c r="O6" s="930">
        <v>0.79166666666666663</v>
      </c>
      <c r="P6" s="930">
        <v>0.5</v>
      </c>
      <c r="Q6" s="1731">
        <v>0.79166666666666663</v>
      </c>
    </row>
    <row r="7" spans="2:17" x14ac:dyDescent="0.25">
      <c r="B7" s="1195" t="s">
        <v>177</v>
      </c>
      <c r="C7" s="11" t="s">
        <v>19</v>
      </c>
      <c r="D7" s="1790" t="s">
        <v>121</v>
      </c>
      <c r="E7" s="1684" t="s">
        <v>121</v>
      </c>
      <c r="F7" s="1684" t="s">
        <v>121</v>
      </c>
      <c r="G7" s="1684" t="s">
        <v>121</v>
      </c>
      <c r="H7" s="1684" t="s">
        <v>121</v>
      </c>
      <c r="I7" s="1684" t="s">
        <v>121</v>
      </c>
      <c r="J7" s="1684" t="s">
        <v>121</v>
      </c>
      <c r="K7" s="1684" t="s">
        <v>121</v>
      </c>
      <c r="L7" s="1684" t="s">
        <v>121</v>
      </c>
      <c r="M7" s="1684" t="s">
        <v>121</v>
      </c>
      <c r="N7" s="1684" t="s">
        <v>121</v>
      </c>
      <c r="O7" s="1684" t="s">
        <v>121</v>
      </c>
      <c r="P7" s="1684" t="s">
        <v>121</v>
      </c>
      <c r="Q7" s="1791" t="s">
        <v>121</v>
      </c>
    </row>
    <row r="8" spans="2:17" ht="15.75" x14ac:dyDescent="0.25">
      <c r="B8" s="1195" t="s">
        <v>178</v>
      </c>
      <c r="C8" s="11" t="s">
        <v>19</v>
      </c>
      <c r="D8" s="1124">
        <v>0.70833333333333337</v>
      </c>
      <c r="E8" s="1125">
        <v>0.97916666666666663</v>
      </c>
      <c r="F8" s="1730">
        <v>0.79166666666666663</v>
      </c>
      <c r="G8" s="1730">
        <v>4.1666666666666664E-2</v>
      </c>
      <c r="H8" s="1146" t="s">
        <v>92</v>
      </c>
      <c r="I8" s="1146" t="s">
        <v>92</v>
      </c>
      <c r="J8" s="1146" t="s">
        <v>93</v>
      </c>
      <c r="K8" s="1146" t="s">
        <v>93</v>
      </c>
      <c r="L8" s="1730">
        <v>0.79166666666666663</v>
      </c>
      <c r="M8" s="1730">
        <v>4.1666666666666664E-2</v>
      </c>
      <c r="N8" s="1730">
        <v>0.79166666666666663</v>
      </c>
      <c r="O8" s="1730">
        <v>4.1666666666666664E-2</v>
      </c>
      <c r="P8" s="1730">
        <v>0.79166666666666663</v>
      </c>
      <c r="Q8" s="1792">
        <v>4.1666666666666664E-2</v>
      </c>
    </row>
    <row r="9" spans="2:17" ht="15.75" thickBot="1" x14ac:dyDescent="0.3">
      <c r="B9" s="1196" t="s">
        <v>179</v>
      </c>
      <c r="C9" s="7" t="s">
        <v>38</v>
      </c>
      <c r="D9" s="1298">
        <v>0.41666666666666669</v>
      </c>
      <c r="E9" s="1214">
        <v>0.70833333333333337</v>
      </c>
      <c r="F9" s="1214">
        <v>0.5</v>
      </c>
      <c r="G9" s="1214">
        <v>0.79166666666666663</v>
      </c>
      <c r="H9" s="1214">
        <v>0.5</v>
      </c>
      <c r="I9" s="1214">
        <v>0.79166666666666663</v>
      </c>
      <c r="J9" s="1214">
        <v>0.5</v>
      </c>
      <c r="K9" s="1214">
        <v>0.79166666666666663</v>
      </c>
      <c r="L9" s="1793"/>
      <c r="M9" s="1793"/>
      <c r="N9" s="1793"/>
      <c r="O9" s="1793"/>
      <c r="P9" s="1793"/>
      <c r="Q9" s="1794"/>
    </row>
    <row r="11" spans="2:17" ht="15.75" thickBot="1" x14ac:dyDescent="0.3"/>
    <row r="12" spans="2:17" ht="16.5" thickBot="1" x14ac:dyDescent="0.3">
      <c r="B12" s="2236" t="s">
        <v>175</v>
      </c>
      <c r="C12" s="2237"/>
      <c r="D12" s="2237"/>
      <c r="E12" s="2237"/>
      <c r="F12" s="2237"/>
      <c r="G12" s="2237"/>
      <c r="H12" s="2237"/>
      <c r="I12" s="2237"/>
      <c r="J12" s="2237"/>
      <c r="K12" s="2237"/>
      <c r="L12" s="2237"/>
      <c r="M12" s="2237"/>
      <c r="N12" s="2237"/>
      <c r="O12" s="2237"/>
      <c r="P12" s="2237"/>
      <c r="Q12" s="2238"/>
    </row>
    <row r="13" spans="2:17" ht="15.75" thickBot="1" x14ac:dyDescent="0.3">
      <c r="B13" s="1" t="s">
        <v>7</v>
      </c>
      <c r="C13" s="2239"/>
      <c r="D13" s="2240"/>
      <c r="E13" s="2241"/>
      <c r="F13" s="2242"/>
      <c r="G13" s="983" t="s">
        <v>3</v>
      </c>
      <c r="H13" s="2240"/>
      <c r="I13" s="2241"/>
      <c r="J13" s="2242"/>
      <c r="K13" s="2243"/>
      <c r="L13" s="2244"/>
      <c r="M13" s="2244"/>
      <c r="N13" s="2244"/>
      <c r="O13" s="2244"/>
      <c r="P13" s="2244"/>
      <c r="Q13" s="2245"/>
    </row>
    <row r="14" spans="2:17" ht="15.75" thickBot="1" x14ac:dyDescent="0.3">
      <c r="B14" s="2"/>
      <c r="C14" s="2225"/>
      <c r="D14" s="2246" t="s">
        <v>9</v>
      </c>
      <c r="E14" s="2247"/>
      <c r="F14" s="2248" t="s">
        <v>10</v>
      </c>
      <c r="G14" s="2247"/>
      <c r="H14" s="2249" t="s">
        <v>11</v>
      </c>
      <c r="I14" s="2250"/>
      <c r="J14" s="2248" t="s">
        <v>12</v>
      </c>
      <c r="K14" s="2251"/>
      <c r="L14" s="2258" t="s">
        <v>13</v>
      </c>
      <c r="M14" s="2259"/>
      <c r="N14" s="2260" t="s">
        <v>14</v>
      </c>
      <c r="O14" s="2259"/>
      <c r="P14" s="2260" t="s">
        <v>15</v>
      </c>
      <c r="Q14" s="2261"/>
    </row>
    <row r="15" spans="2:17" ht="15.75" thickBot="1" x14ac:dyDescent="0.3">
      <c r="B15" s="3" t="s">
        <v>16</v>
      </c>
      <c r="C15" s="932" t="s">
        <v>17</v>
      </c>
      <c r="D15" s="2235">
        <v>46219</v>
      </c>
      <c r="E15" s="2230"/>
      <c r="F15" s="2229">
        <f>D15+1</f>
        <v>46220</v>
      </c>
      <c r="G15" s="2230"/>
      <c r="H15" s="2231">
        <f>F15+1</f>
        <v>46221</v>
      </c>
      <c r="I15" s="2232"/>
      <c r="J15" s="2229">
        <f>H15+1</f>
        <v>46222</v>
      </c>
      <c r="K15" s="2233"/>
      <c r="L15" s="2229">
        <f>J15+1</f>
        <v>46223</v>
      </c>
      <c r="M15" s="2230"/>
      <c r="N15" s="2229">
        <f>L15+1</f>
        <v>46224</v>
      </c>
      <c r="O15" s="2230"/>
      <c r="P15" s="2229">
        <f>N15+1</f>
        <v>46225</v>
      </c>
      <c r="Q15" s="2234"/>
    </row>
    <row r="16" spans="2:17" ht="15.75" x14ac:dyDescent="0.25">
      <c r="B16" s="1194" t="s">
        <v>176</v>
      </c>
      <c r="C16" s="9" t="s">
        <v>19</v>
      </c>
      <c r="D16" s="1788" t="s">
        <v>93</v>
      </c>
      <c r="E16" s="1185" t="s">
        <v>93</v>
      </c>
      <c r="F16" s="1789">
        <v>0.83333333333333337</v>
      </c>
      <c r="G16" s="1789">
        <v>8.3333333333333329E-2</v>
      </c>
      <c r="H16" s="1789">
        <v>0.91666666666666663</v>
      </c>
      <c r="I16" s="1789">
        <v>0.16666666666666666</v>
      </c>
      <c r="J16" s="1789">
        <v>0.83333333333333337</v>
      </c>
      <c r="K16" s="1789">
        <v>8.3333333333333329E-2</v>
      </c>
      <c r="L16" s="930">
        <v>0.58333333333333337</v>
      </c>
      <c r="M16" s="930">
        <v>0.875</v>
      </c>
      <c r="N16" s="1185" t="s">
        <v>94</v>
      </c>
      <c r="O16" s="1185" t="s">
        <v>94</v>
      </c>
      <c r="P16" s="930">
        <v>0.5</v>
      </c>
      <c r="Q16" s="1731">
        <v>0.79166666666666663</v>
      </c>
    </row>
    <row r="17" spans="2:17" x14ac:dyDescent="0.25">
      <c r="B17" s="1195" t="s">
        <v>177</v>
      </c>
      <c r="C17" s="11" t="s">
        <v>19</v>
      </c>
      <c r="D17" s="1790" t="s">
        <v>121</v>
      </c>
      <c r="E17" s="1684" t="s">
        <v>121</v>
      </c>
      <c r="F17" s="1684" t="s">
        <v>121</v>
      </c>
      <c r="G17" s="1684" t="s">
        <v>121</v>
      </c>
      <c r="H17" s="1684" t="s">
        <v>121</v>
      </c>
      <c r="I17" s="1684" t="s">
        <v>121</v>
      </c>
      <c r="J17" s="1684" t="s">
        <v>121</v>
      </c>
      <c r="K17" s="1684" t="s">
        <v>121</v>
      </c>
      <c r="L17" s="1684" t="s">
        <v>121</v>
      </c>
      <c r="M17" s="1684" t="s">
        <v>121</v>
      </c>
      <c r="N17" s="1684" t="s">
        <v>121</v>
      </c>
      <c r="O17" s="1684" t="s">
        <v>121</v>
      </c>
      <c r="P17" s="1684" t="s">
        <v>121</v>
      </c>
      <c r="Q17" s="1791" t="s">
        <v>121</v>
      </c>
    </row>
    <row r="18" spans="2:17" ht="15.75" x14ac:dyDescent="0.25">
      <c r="B18" s="1195" t="s">
        <v>178</v>
      </c>
      <c r="C18" s="11" t="s">
        <v>19</v>
      </c>
      <c r="D18" s="1124">
        <v>0.70833333333333337</v>
      </c>
      <c r="E18" s="1125">
        <v>0.97916666666666663</v>
      </c>
      <c r="F18" s="1146" t="s">
        <v>92</v>
      </c>
      <c r="G18" s="1146" t="s">
        <v>92</v>
      </c>
      <c r="H18" s="1125">
        <v>0.66666666666666663</v>
      </c>
      <c r="I18" s="1125">
        <v>0.9375</v>
      </c>
      <c r="J18" s="1146" t="s">
        <v>93</v>
      </c>
      <c r="K18" s="1146" t="s">
        <v>93</v>
      </c>
      <c r="L18" s="1730">
        <v>0.83333333333333337</v>
      </c>
      <c r="M18" s="1730">
        <v>8.3333333333333329E-2</v>
      </c>
      <c r="N18" s="1730">
        <v>0.83333333333333337</v>
      </c>
      <c r="O18" s="1730" t="s">
        <v>295</v>
      </c>
      <c r="P18" s="1730">
        <v>0.83333333333333337</v>
      </c>
      <c r="Q18" s="1792">
        <v>8.3333333333333329E-2</v>
      </c>
    </row>
    <row r="19" spans="2:17" ht="15.75" thickBot="1" x14ac:dyDescent="0.3">
      <c r="B19" s="1196" t="s">
        <v>179</v>
      </c>
      <c r="C19" s="7" t="s">
        <v>38</v>
      </c>
      <c r="D19" s="1298">
        <v>0.41666666666666669</v>
      </c>
      <c r="E19" s="1214">
        <v>0.70833333333333337</v>
      </c>
      <c r="F19" s="1214">
        <v>0.54166666666666663</v>
      </c>
      <c r="G19" s="1214">
        <v>0.83333333333333337</v>
      </c>
      <c r="H19" s="1214">
        <v>0.41666666666666669</v>
      </c>
      <c r="I19" s="1214">
        <v>0.70833333333333337</v>
      </c>
      <c r="J19" s="1214">
        <v>0.5</v>
      </c>
      <c r="K19" s="1214">
        <v>0.79166666666666663</v>
      </c>
      <c r="L19" s="1793"/>
      <c r="M19" s="1793"/>
      <c r="N19" s="1214">
        <v>0.5</v>
      </c>
      <c r="O19" s="1214">
        <v>0.79166666666666663</v>
      </c>
      <c r="P19" s="1793"/>
      <c r="Q19" s="1794"/>
    </row>
  </sheetData>
  <mergeCells count="38">
    <mergeCell ref="P5:Q5"/>
    <mergeCell ref="P14:Q14"/>
    <mergeCell ref="J5:K5"/>
    <mergeCell ref="L5:M5"/>
    <mergeCell ref="B2:Q2"/>
    <mergeCell ref="C3:C4"/>
    <mergeCell ref="D3:F3"/>
    <mergeCell ref="H3:J3"/>
    <mergeCell ref="K3:Q3"/>
    <mergeCell ref="D4:E4"/>
    <mergeCell ref="F4:G4"/>
    <mergeCell ref="H4:I4"/>
    <mergeCell ref="J4:K4"/>
    <mergeCell ref="L4:M4"/>
    <mergeCell ref="N4:O4"/>
    <mergeCell ref="P4:Q4"/>
    <mergeCell ref="N5:O5"/>
    <mergeCell ref="F14:G14"/>
    <mergeCell ref="H14:I14"/>
    <mergeCell ref="J14:K14"/>
    <mergeCell ref="L14:M14"/>
    <mergeCell ref="N14:O14"/>
    <mergeCell ref="D5:E5"/>
    <mergeCell ref="F5:G5"/>
    <mergeCell ref="H5:I5"/>
    <mergeCell ref="N15:O15"/>
    <mergeCell ref="P15:Q15"/>
    <mergeCell ref="D15:E15"/>
    <mergeCell ref="F15:G15"/>
    <mergeCell ref="H15:I15"/>
    <mergeCell ref="J15:K15"/>
    <mergeCell ref="L15:M15"/>
    <mergeCell ref="B12:Q12"/>
    <mergeCell ref="C13:C14"/>
    <mergeCell ref="D13:F13"/>
    <mergeCell ref="H13:J13"/>
    <mergeCell ref="K13:Q13"/>
    <mergeCell ref="D14:E14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E43CB-AB26-4E31-87A4-C6B9FEAF4568}">
  <dimension ref="B2:D26"/>
  <sheetViews>
    <sheetView tabSelected="1" workbookViewId="0">
      <selection activeCell="I19" sqref="I19"/>
    </sheetView>
  </sheetViews>
  <sheetFormatPr baseColWidth="10" defaultColWidth="11.42578125" defaultRowHeight="15" x14ac:dyDescent="0.25"/>
  <cols>
    <col min="2" max="2" width="21.28515625" customWidth="1"/>
  </cols>
  <sheetData>
    <row r="2" spans="2:4" ht="15.75" x14ac:dyDescent="0.25">
      <c r="B2" s="2325" t="s">
        <v>146</v>
      </c>
      <c r="C2" s="2322">
        <v>0.39583333333333331</v>
      </c>
      <c r="D2" s="2322">
        <v>0.72916666666666663</v>
      </c>
    </row>
    <row r="3" spans="2:4" ht="15.75" x14ac:dyDescent="0.25">
      <c r="B3" s="2325" t="s">
        <v>154</v>
      </c>
      <c r="C3" s="2326">
        <v>0.4375</v>
      </c>
      <c r="D3" s="2326">
        <v>0.77083333333333337</v>
      </c>
    </row>
    <row r="4" spans="2:4" ht="15.75" x14ac:dyDescent="0.25">
      <c r="B4" s="2323" t="s">
        <v>134</v>
      </c>
      <c r="C4" s="2324">
        <v>0.54166666666666663</v>
      </c>
      <c r="D4" s="2324">
        <v>0.875</v>
      </c>
    </row>
    <row r="5" spans="2:4" ht="15.75" x14ac:dyDescent="0.25">
      <c r="B5" s="2325" t="s">
        <v>137</v>
      </c>
      <c r="C5" s="2324">
        <v>0.58333333333333337</v>
      </c>
      <c r="D5" s="2324">
        <v>0.90972222222222221</v>
      </c>
    </row>
    <row r="6" spans="2:4" ht="15.75" x14ac:dyDescent="0.25">
      <c r="B6" s="2325" t="s">
        <v>142</v>
      </c>
      <c r="C6" s="2324">
        <v>0.64583333333333337</v>
      </c>
      <c r="D6" s="2324">
        <v>0.96527777777777779</v>
      </c>
    </row>
    <row r="7" spans="2:4" ht="15.75" x14ac:dyDescent="0.25">
      <c r="B7" s="2325" t="s">
        <v>277</v>
      </c>
      <c r="C7" s="2324">
        <v>0.64583333333333337</v>
      </c>
      <c r="D7" s="2324">
        <v>0.96527777777777779</v>
      </c>
    </row>
    <row r="8" spans="2:4" ht="15.75" x14ac:dyDescent="0.25">
      <c r="B8" s="2325" t="s">
        <v>157</v>
      </c>
      <c r="C8" s="2326">
        <v>0.66666666666666663</v>
      </c>
      <c r="D8" s="2326">
        <v>0.97916666666666663</v>
      </c>
    </row>
    <row r="9" spans="2:4" ht="15.75" x14ac:dyDescent="0.25">
      <c r="B9" s="2321" t="s">
        <v>133</v>
      </c>
      <c r="C9" s="2322">
        <v>0.79166666666666663</v>
      </c>
      <c r="D9" s="2322">
        <v>8.3333333333333329E-2</v>
      </c>
    </row>
    <row r="25" ht="28.5" customHeight="1" x14ac:dyDescent="0.25"/>
    <row r="26" ht="29.25" customHeight="1" x14ac:dyDescent="0.25"/>
  </sheetData>
  <sortState xmlns:xlrd2="http://schemas.microsoft.com/office/spreadsheetml/2017/richdata2" ref="B2:D9">
    <sortCondition ref="C2:C9"/>
  </sortState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6</vt:i4>
      </vt:variant>
    </vt:vector>
  </HeadingPairs>
  <TitlesOfParts>
    <vt:vector size="17" baseType="lpstr">
      <vt:lpstr>Candy. (2)</vt:lpstr>
      <vt:lpstr>Candy (no modificar)</vt:lpstr>
      <vt:lpstr>Piso </vt:lpstr>
      <vt:lpstr>Proyección</vt:lpstr>
      <vt:lpstr>PEDIDOS DE HORARIO</vt:lpstr>
      <vt:lpstr>Candy</vt:lpstr>
      <vt:lpstr>Jornadas reducción nocturna</vt:lpstr>
      <vt:lpstr>Piso .VACACIONES</vt:lpstr>
      <vt:lpstr>Candy-VACACIONES</vt:lpstr>
      <vt:lpstr>Hoja1</vt:lpstr>
      <vt:lpstr>Hoja2</vt:lpstr>
      <vt:lpstr>Candy!Área_de_impresión</vt:lpstr>
      <vt:lpstr>'Candy (no modificar)'!Área_de_impresión</vt:lpstr>
      <vt:lpstr>'Candy. (2)'!Área_de_impresión</vt:lpstr>
      <vt:lpstr>'Candy-VACACIONES'!Área_de_impresión</vt:lpstr>
      <vt:lpstr>'Piso '!Área_de_impresión</vt:lpstr>
      <vt:lpstr>Proyección!Área_de_impresión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vista</dc:creator>
  <cp:keywords/>
  <dc:description/>
  <cp:lastModifiedBy>Village Avellaneda</cp:lastModifiedBy>
  <cp:revision/>
  <dcterms:created xsi:type="dcterms:W3CDTF">2022-10-20T01:16:31Z</dcterms:created>
  <dcterms:modified xsi:type="dcterms:W3CDTF">2026-07-27T23:06:28Z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6b3df0c-3f2c-484b-8e8b-628ff293283d_Enabled">
    <vt:lpwstr>true</vt:lpwstr>
  </property>
  <property fmtid="{D5CDD505-2E9C-101B-9397-08002B2CF9AE}" pid="3" name="MSIP_Label_96b3df0c-3f2c-484b-8e8b-628ff293283d_SetDate">
    <vt:lpwstr>2025-07-12T00:41:26Z</vt:lpwstr>
  </property>
  <property fmtid="{D5CDD505-2E9C-101B-9397-08002B2CF9AE}" pid="4" name="MSIP_Label_96b3df0c-3f2c-484b-8e8b-628ff293283d_Method">
    <vt:lpwstr>Privileged</vt:lpwstr>
  </property>
  <property fmtid="{D5CDD505-2E9C-101B-9397-08002B2CF9AE}" pid="5" name="MSIP_Label_96b3df0c-3f2c-484b-8e8b-628ff293283d_Name">
    <vt:lpwstr>96b3df0c-3f2c-484b-8e8b-628ff293283d</vt:lpwstr>
  </property>
  <property fmtid="{D5CDD505-2E9C-101B-9397-08002B2CF9AE}" pid="6" name="MSIP_Label_96b3df0c-3f2c-484b-8e8b-628ff293283d_SiteId">
    <vt:lpwstr>d95b8428-3729-4ecd-a6f3-beee9ba8c6cb</vt:lpwstr>
  </property>
  <property fmtid="{D5CDD505-2E9C-101B-9397-08002B2CF9AE}" pid="7" name="MSIP_Label_96b3df0c-3f2c-484b-8e8b-628ff293283d_ActionId">
    <vt:lpwstr>5a7ce487-c784-49b4-999c-687b31de65a8</vt:lpwstr>
  </property>
  <property fmtid="{D5CDD505-2E9C-101B-9397-08002B2CF9AE}" pid="8" name="MSIP_Label_96b3df0c-3f2c-484b-8e8b-628ff293283d_ContentBits">
    <vt:lpwstr>3</vt:lpwstr>
  </property>
  <property fmtid="{D5CDD505-2E9C-101B-9397-08002B2CF9AE}" pid="9" name="MSIP_Label_96b3df0c-3f2c-484b-8e8b-628ff293283d_Tag">
    <vt:lpwstr>10, 0, 1, 1</vt:lpwstr>
  </property>
</Properties>
</file>